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Active VT" sheetId="1" r:id="rId5"/>
    <sheet state="visible" name="Dropped VT" sheetId="2" r:id="rId6"/>
    <sheet state="visible" name="Rejected VT" sheetId="3" r:id="rId7"/>
    <sheet state="visible" name="Newly registered VT" sheetId="4" r:id="rId8"/>
  </sheets>
  <definedNames/>
  <calcPr/>
</workbook>
</file>

<file path=xl/sharedStrings.xml><?xml version="1.0" encoding="utf-8"?>
<sst xmlns="http://schemas.openxmlformats.org/spreadsheetml/2006/main" count="5247" uniqueCount="1550">
  <si>
    <t>Academic Year</t>
  </si>
  <si>
    <t>Offering ID</t>
  </si>
  <si>
    <t>Offering Start</t>
  </si>
  <si>
    <t>Offering End</t>
  </si>
  <si>
    <t>Offering Status</t>
  </si>
  <si>
    <t>Volunteer ID</t>
  </si>
  <si>
    <t>Volunteer Name</t>
  </si>
  <si>
    <t>Email</t>
  </si>
  <si>
    <t>Phone</t>
  </si>
  <si>
    <t>EV Joined Date</t>
  </si>
  <si>
    <t>Reference</t>
  </si>
  <si>
    <t>Volunteer City</t>
  </si>
  <si>
    <t>Volunteer State</t>
  </si>
  <si>
    <t>Volunteer Country</t>
  </si>
  <si>
    <t>Profession</t>
  </si>
  <si>
    <t>Center ID</t>
  </si>
  <si>
    <t>Center Name</t>
  </si>
  <si>
    <t>Center State</t>
  </si>
  <si>
    <t>District</t>
  </si>
  <si>
    <t>Donor</t>
  </si>
  <si>
    <t>Sub Project</t>
  </si>
  <si>
    <t>Language</t>
  </si>
  <si>
    <t>Board</t>
  </si>
  <si>
    <t>Grade</t>
  </si>
  <si>
    <t>Subject</t>
  </si>
  <si>
    <t>Registered</t>
  </si>
  <si>
    <t>Reg Boys</t>
  </si>
  <si>
    <t>Reg Girls</t>
  </si>
  <si>
    <t>Enrolled</t>
  </si>
  <si>
    <t>En Boys</t>
  </si>
  <si>
    <t>En Girls</t>
  </si>
  <si>
    <t>First Session</t>
  </si>
  <si>
    <t>Latest Session</t>
  </si>
  <si>
    <t>Planned</t>
  </si>
  <si>
    <t>Scheduled</t>
  </si>
  <si>
    <t>Completed</t>
  </si>
  <si>
    <t>Offline</t>
  </si>
  <si>
    <t>Cancelled</t>
  </si>
  <si>
    <t>Total Hours (Comp + Offline)</t>
  </si>
  <si>
    <t>CLH</t>
  </si>
  <si>
    <t>Attendance %</t>
  </si>
  <si>
    <t>AY-26-27</t>
  </si>
  <si>
    <t>31/12/26</t>
  </si>
  <si>
    <t>Running</t>
  </si>
  <si>
    <t>Aayushi Trivedi</t>
  </si>
  <si>
    <t>aayutrivedi13@gmail.com</t>
  </si>
  <si>
    <t>Internet Search</t>
  </si>
  <si>
    <t>Mumbai</t>
  </si>
  <si>
    <t>Maharashtra</t>
  </si>
  <si>
    <t>India</t>
  </si>
  <si>
    <t>corporates</t>
  </si>
  <si>
    <t>GMS Jallian</t>
  </si>
  <si>
    <t>Jammu¬†And¬†Kashmir</t>
  </si>
  <si>
    <t>PUNCH</t>
  </si>
  <si>
    <t>Indian Army</t>
  </si>
  <si>
    <t>DCP</t>
  </si>
  <si>
    <t>Hindi</t>
  </si>
  <si>
    <t>eVidyaloka</t>
  </si>
  <si>
    <t>Conceptual Learning - Math</t>
  </si>
  <si>
    <t>24/06/26</t>
  </si>
  <si>
    <t>20/01/26</t>
  </si>
  <si>
    <t>Akanksha Gupta</t>
  </si>
  <si>
    <t>akankshag367@gmail.com</t>
  </si>
  <si>
    <t>KPMG Bangalore</t>
  </si>
  <si>
    <t>Asansol</t>
  </si>
  <si>
    <t>West Bengal</t>
  </si>
  <si>
    <t>MV Podlara</t>
  </si>
  <si>
    <t>Purulia</t>
  </si>
  <si>
    <t>LTTS</t>
  </si>
  <si>
    <t>Bengali</t>
  </si>
  <si>
    <t>English</t>
  </si>
  <si>
    <t>30/06/26</t>
  </si>
  <si>
    <t>31/03/27</t>
  </si>
  <si>
    <t>Akshat Bansal</t>
  </si>
  <si>
    <t>bansalakshat7789@gmail.com</t>
  </si>
  <si>
    <t>Yamunanagar</t>
  </si>
  <si>
    <t>Haryana</t>
  </si>
  <si>
    <t>student_pg</t>
  </si>
  <si>
    <t>UPS Itwa</t>
  </si>
  <si>
    <t>Uttar Pradesh</t>
  </si>
  <si>
    <t>SIDDHARTHNAGAR</t>
  </si>
  <si>
    <t>Retail</t>
  </si>
  <si>
    <t>Conceptual Learning Math-HM</t>
  </si>
  <si>
    <t>15/06/26</t>
  </si>
  <si>
    <t>Amulya Kashyap</t>
  </si>
  <si>
    <t>amulyakashyap4@gmail.com</t>
  </si>
  <si>
    <t>Bengaluru</t>
  </si>
  <si>
    <t>Karnataka</t>
  </si>
  <si>
    <t>others</t>
  </si>
  <si>
    <t>GHPS Chikka Basavana Pura</t>
  </si>
  <si>
    <t>Bengaluru South</t>
  </si>
  <si>
    <t>Kannada</t>
  </si>
  <si>
    <t>18/06/26</t>
  </si>
  <si>
    <t>25/06/26</t>
  </si>
  <si>
    <t>Anamitra BardhanRoy</t>
  </si>
  <si>
    <t>anamitra.broy@gmail.com</t>
  </si>
  <si>
    <t>JHS Shyamrola</t>
  </si>
  <si>
    <t>WBSED</t>
  </si>
  <si>
    <t>Conceptual Learning - Science</t>
  </si>
  <si>
    <t>27/06/26</t>
  </si>
  <si>
    <t>Anindyasundar Bera</t>
  </si>
  <si>
    <t>anindyasundar.bera@infosys.com</t>
  </si>
  <si>
    <t>Infosys BPM Ltd</t>
  </si>
  <si>
    <t>Kolkata</t>
  </si>
  <si>
    <t>JHS Petadih Hirakhep</t>
  </si>
  <si>
    <t>29/06/26</t>
  </si>
  <si>
    <t>Anirudh Anand</t>
  </si>
  <si>
    <t>anirudhanand06@gmail.com</t>
  </si>
  <si>
    <t>student_ug</t>
  </si>
  <si>
    <t>Conceptual Learning Science-HM</t>
  </si>
  <si>
    <t>Anupama Nadager</t>
  </si>
  <si>
    <t>anupama.nadager@hp.com</t>
  </si>
  <si>
    <t>HPInc</t>
  </si>
  <si>
    <t>GHPS Hanchinal (K)</t>
  </si>
  <si>
    <t>RAICHUR</t>
  </si>
  <si>
    <t>DSERT</t>
  </si>
  <si>
    <t>Arunita Rakshit</t>
  </si>
  <si>
    <t>arunita75@gmail.com</t>
  </si>
  <si>
    <t>Ranchi</t>
  </si>
  <si>
    <t>Jharkhand</t>
  </si>
  <si>
    <t>Life, Physical, and Social Science</t>
  </si>
  <si>
    <t>JHS Hensla</t>
  </si>
  <si>
    <t>PURULIYA</t>
  </si>
  <si>
    <t>Asha Vadayar</t>
  </si>
  <si>
    <t>avadayar@gmail.com</t>
  </si>
  <si>
    <t>Aurora</t>
  </si>
  <si>
    <t>Colorado</t>
  </si>
  <si>
    <t>United States</t>
  </si>
  <si>
    <t>home_makers</t>
  </si>
  <si>
    <t>GHPS Yadagana Hally</t>
  </si>
  <si>
    <t>MANDYA</t>
  </si>
  <si>
    <t>Self Funded</t>
  </si>
  <si>
    <t>Ayan Mukherjee</t>
  </si>
  <si>
    <t>ayan.mukherjee4@gmail.com</t>
  </si>
  <si>
    <t>Emailer</t>
  </si>
  <si>
    <t>Burdwan</t>
  </si>
  <si>
    <t>Consultant</t>
  </si>
  <si>
    <t>Bhavna Keswani</t>
  </si>
  <si>
    <t>bhavna_mkeswani@hotmail.com</t>
  </si>
  <si>
    <t>Kalyan</t>
  </si>
  <si>
    <t>Bhumika KP</t>
  </si>
  <si>
    <t>bhumika.k.p@hp.com</t>
  </si>
  <si>
    <t>22/06/26</t>
  </si>
  <si>
    <t>CHALUVARAJU MA</t>
  </si>
  <si>
    <t>machaluvaraju@gmail.com</t>
  </si>
  <si>
    <t>Mandya</t>
  </si>
  <si>
    <t>Chaya Upadhya</t>
  </si>
  <si>
    <t>upadhya.chaya@gmail.com</t>
  </si>
  <si>
    <t>GHPS Ramapur</t>
  </si>
  <si>
    <t>DHARWAD</t>
  </si>
  <si>
    <t>Fidelity Investments</t>
  </si>
  <si>
    <t>27/01/26</t>
  </si>
  <si>
    <t>Debaleena Parashar</t>
  </si>
  <si>
    <t>debaleenaparashar@gmail.com</t>
  </si>
  <si>
    <t>Manipal</t>
  </si>
  <si>
    <t>JHS Bongabari</t>
  </si>
  <si>
    <t>Debalina Ganguly</t>
  </si>
  <si>
    <t>Gangulydebalina8@gmail.com</t>
  </si>
  <si>
    <t>ConnectFor</t>
  </si>
  <si>
    <t>Debjit Ghosh</t>
  </si>
  <si>
    <t>debjitghosh5749@gmail.com</t>
  </si>
  <si>
    <t>retired_professional</t>
  </si>
  <si>
    <t>Deeya Banerjee</t>
  </si>
  <si>
    <t>banerjeedeeya@gmail.com</t>
  </si>
  <si>
    <t>DEVESH MATHUR</t>
  </si>
  <si>
    <t>mathurdevesh365@gmail.com</t>
  </si>
  <si>
    <t>Dhaksheena Dharshini</t>
  </si>
  <si>
    <t>gdhaksheenadharshini@gmail.com</t>
  </si>
  <si>
    <t>Coimbatore</t>
  </si>
  <si>
    <t>Tamil Nadu</t>
  </si>
  <si>
    <t>Diksha .</t>
  </si>
  <si>
    <t>diksha18@infosys.com</t>
  </si>
  <si>
    <t>Jaipur</t>
  </si>
  <si>
    <t>Rajasthan</t>
  </si>
  <si>
    <t>Dimitra BardhanRoy</t>
  </si>
  <si>
    <t>dglondon2012@yahoo.com</t>
  </si>
  <si>
    <t>DCP Campaign</t>
  </si>
  <si>
    <t>business/self_employed</t>
  </si>
  <si>
    <t>Dr. Ram Chatterjee</t>
  </si>
  <si>
    <t>emailtorkc@gmail.com</t>
  </si>
  <si>
    <t>Dehradun</t>
  </si>
  <si>
    <t>Uttarakhand</t>
  </si>
  <si>
    <t>Dwijabanti Polley</t>
  </si>
  <si>
    <t>dwijabantipolley2000@gmail.com</t>
  </si>
  <si>
    <t>Howrah</t>
  </si>
  <si>
    <t>HS Chakirban</t>
  </si>
  <si>
    <t>23/06/26</t>
  </si>
  <si>
    <t>Garima Bishnu</t>
  </si>
  <si>
    <t>garimabishnu@gmail.com</t>
  </si>
  <si>
    <t>18/02/26</t>
  </si>
  <si>
    <t>Sihali Junior High School</t>
  </si>
  <si>
    <t>geetha chundi</t>
  </si>
  <si>
    <t>geethashivani74@gmail.com</t>
  </si>
  <si>
    <t>Hyderabad</t>
  </si>
  <si>
    <t>Telangana</t>
  </si>
  <si>
    <t>Education, Training, and Library</t>
  </si>
  <si>
    <t>15/02/26</t>
  </si>
  <si>
    <t>Godhuli Kundu</t>
  </si>
  <si>
    <t>godhulikundu03@gmail.com</t>
  </si>
  <si>
    <t>24 Parganas (n)</t>
  </si>
  <si>
    <t>Jabarrah High School</t>
  </si>
  <si>
    <t>L&amp;T Technology Services</t>
  </si>
  <si>
    <t>Gokul Casheekar</t>
  </si>
  <si>
    <t>gokulraju@gmail.com</t>
  </si>
  <si>
    <t>Hemanth Nagaraju</t>
  </si>
  <si>
    <t>hemanth.n@cgi.com</t>
  </si>
  <si>
    <t>CGI</t>
  </si>
  <si>
    <t>GHPS Guledakoppa</t>
  </si>
  <si>
    <t>Dharwad</t>
  </si>
  <si>
    <t>Himanshi Jaiswal</t>
  </si>
  <si>
    <t>jaiswalhimanshi86@gmail.com</t>
  </si>
  <si>
    <t>Dewas</t>
  </si>
  <si>
    <t>Madhya Pradesh</t>
  </si>
  <si>
    <t>IPSITA BASUCHOUDHURY</t>
  </si>
  <si>
    <t>ipsita1118@gmail.com</t>
  </si>
  <si>
    <t>Jalpaiguri</t>
  </si>
  <si>
    <t>teacher_school</t>
  </si>
  <si>
    <t>Jagaran Pramanik</t>
  </si>
  <si>
    <t>jagaranpramanik@gmail.com</t>
  </si>
  <si>
    <t>Kalyani</t>
  </si>
  <si>
    <t>13/04/26</t>
  </si>
  <si>
    <t>Jayant Garg</t>
  </si>
  <si>
    <t>gargjayant2@gmail.com</t>
  </si>
  <si>
    <t>Patiala</t>
  </si>
  <si>
    <t>Punjab</t>
  </si>
  <si>
    <t>Jayaraj Shetty</t>
  </si>
  <si>
    <t>lifjrs@gmail.com</t>
  </si>
  <si>
    <t>Udupi</t>
  </si>
  <si>
    <t>Jeet Chakraborty</t>
  </si>
  <si>
    <t>jeet.chakraborty@ltimindtree.com</t>
  </si>
  <si>
    <t>24 Parganas (s)</t>
  </si>
  <si>
    <t>JHS Tamna</t>
  </si>
  <si>
    <t>Kalpana Prabhu</t>
  </si>
  <si>
    <t>kalpanabprabhu2@gmail.com</t>
  </si>
  <si>
    <t>GHPS Benakanakatti</t>
  </si>
  <si>
    <t>Kavitha Shree</t>
  </si>
  <si>
    <t>kavithashreerv@gmail.com</t>
  </si>
  <si>
    <t>Backfill</t>
  </si>
  <si>
    <t>Keka Nandy</t>
  </si>
  <si>
    <t>nandykeka.2212@gmail.com</t>
  </si>
  <si>
    <t>Navi Mumbai</t>
  </si>
  <si>
    <t>Leena Smita</t>
  </si>
  <si>
    <t>dsouzamithu@gmail.com</t>
  </si>
  <si>
    <t>ar-Riyad</t>
  </si>
  <si>
    <t>Saudi Arabia</t>
  </si>
  <si>
    <t>28/01/26</t>
  </si>
  <si>
    <t>Madhumita Sarkar</t>
  </si>
  <si>
    <t>madhumita.ju@gmail.com</t>
  </si>
  <si>
    <t>Madhura Shetty</t>
  </si>
  <si>
    <t>msshetty.77@gmail.com</t>
  </si>
  <si>
    <t>Madhushree Poddar</t>
  </si>
  <si>
    <t>madhushree.poddar@gmail.com</t>
  </si>
  <si>
    <t>Others</t>
  </si>
  <si>
    <t>Hsinchu Shih</t>
  </si>
  <si>
    <t>Taiwan</t>
  </si>
  <si>
    <t>Student</t>
  </si>
  <si>
    <t>Mallika Ghosh</t>
  </si>
  <si>
    <t>mallikaghosh5749@gmail.com</t>
  </si>
  <si>
    <t>Moumita Nath</t>
  </si>
  <si>
    <t>moumita27nath@gmail.com</t>
  </si>
  <si>
    <t>Nandita sen</t>
  </si>
  <si>
    <t>nandita20065@gmail.com</t>
  </si>
  <si>
    <t>Andul</t>
  </si>
  <si>
    <t>20/04/26</t>
  </si>
  <si>
    <t>Nidhi Tiwari</t>
  </si>
  <si>
    <t>uwfnokia1@udaanwelfare.org</t>
  </si>
  <si>
    <t>Udaan Welfare Foundation</t>
  </si>
  <si>
    <t>Udaan DIGITAL SCHOOL</t>
  </si>
  <si>
    <t>Marathi</t>
  </si>
  <si>
    <t>MHSB</t>
  </si>
  <si>
    <t>26/06/26</t>
  </si>
  <si>
    <t>Nikhil S</t>
  </si>
  <si>
    <t>gsnikhil47@gmail.com</t>
  </si>
  <si>
    <t>NK Archak</t>
  </si>
  <si>
    <t>nkarchak@gmail.com</t>
  </si>
  <si>
    <t>HSBC EDPI</t>
  </si>
  <si>
    <t>Parna Ganguly</t>
  </si>
  <si>
    <t>parnaganguly2009@gmail.com</t>
  </si>
  <si>
    <t>Parshav Khandelwal</t>
  </si>
  <si>
    <t>khandelwalparshavrawat@gmail.com</t>
  </si>
  <si>
    <t>Bareilly</t>
  </si>
  <si>
    <t>Poonacha D</t>
  </si>
  <si>
    <t>poodev5@gmail.com</t>
  </si>
  <si>
    <t>GHPS Timmapur</t>
  </si>
  <si>
    <t>Purna Tejaswi</t>
  </si>
  <si>
    <t>purnatejaswi.2001@gmail.com</t>
  </si>
  <si>
    <t>ZPHS Goriganur</t>
  </si>
  <si>
    <t>Andhra Pradesh</t>
  </si>
  <si>
    <t>YSR Kadapa</t>
  </si>
  <si>
    <t>Ashraya Hastha Trust</t>
  </si>
  <si>
    <t>Telugu</t>
  </si>
  <si>
    <t>R Dutta</t>
  </si>
  <si>
    <t>rmtdutta@gmail.com</t>
  </si>
  <si>
    <t>Ranaghat</t>
  </si>
  <si>
    <t>RAJANYA BASAK</t>
  </si>
  <si>
    <t>rajanyabasak04@gmail.com</t>
  </si>
  <si>
    <t>Chandannagar</t>
  </si>
  <si>
    <t>Ramya Kumar</t>
  </si>
  <si>
    <t>ramyakumar@yahoo.com</t>
  </si>
  <si>
    <t>Chennai</t>
  </si>
  <si>
    <t>Rashmi Girish</t>
  </si>
  <si>
    <t>rashmirsonu@gmail.com</t>
  </si>
  <si>
    <t>GHPS Mandihal</t>
  </si>
  <si>
    <t>13/02/26</t>
  </si>
  <si>
    <t>RUPJIT SINGH</t>
  </si>
  <si>
    <t>whos.rupjit@gmail.com</t>
  </si>
  <si>
    <t>Bhubaneswar</t>
  </si>
  <si>
    <t>Odisha</t>
  </si>
  <si>
    <t>Sabyasachi Raychaudhuri</t>
  </si>
  <si>
    <t>royc.sabya@gmail.com</t>
  </si>
  <si>
    <t>Sagarika Das</t>
  </si>
  <si>
    <t>sagarikadasin@gmail.com</t>
  </si>
  <si>
    <t>Kanchipuram</t>
  </si>
  <si>
    <t>Sailaja Radhakrishna</t>
  </si>
  <si>
    <t>sailaja_susarla06@yahoo.com</t>
  </si>
  <si>
    <t>ZPHS Amruthanagar</t>
  </si>
  <si>
    <t>Satyasree De</t>
  </si>
  <si>
    <t>desatyasree999@gmail.com</t>
  </si>
  <si>
    <t>Saugata Senupta</t>
  </si>
  <si>
    <t>saugata107@yahoo.co.in</t>
  </si>
  <si>
    <t>Sayan Kar</t>
  </si>
  <si>
    <t>sayan.kar@siom.in</t>
  </si>
  <si>
    <t>Spandan</t>
  </si>
  <si>
    <t>Nashik</t>
  </si>
  <si>
    <t>Semanti Dutta</t>
  </si>
  <si>
    <t>semanti.dutta2010@gmail.com</t>
  </si>
  <si>
    <t>Sharmistha Banerjee</t>
  </si>
  <si>
    <t>sharmisthabanerjee62@gmail.com</t>
  </si>
  <si>
    <t>Bankura</t>
  </si>
  <si>
    <t>Shatabdi Pandey</t>
  </si>
  <si>
    <t>shatabdi.pandey@techmahindra.com</t>
  </si>
  <si>
    <t>Tech Mahindra Limited</t>
  </si>
  <si>
    <t>13/06/26</t>
  </si>
  <si>
    <t>SHRAVYA N</t>
  </si>
  <si>
    <t>shravya20004@gmail.com</t>
  </si>
  <si>
    <t>Hospet</t>
  </si>
  <si>
    <t>Shyam Sundar Patra</t>
  </si>
  <si>
    <t>shyam_patra@infosys.com</t>
  </si>
  <si>
    <t>Snayini Joardar</t>
  </si>
  <si>
    <t>snayinijoardar1017@gmail.com</t>
  </si>
  <si>
    <t>Soumyajit Mandal</t>
  </si>
  <si>
    <t>mandalrit333@gmail.com</t>
  </si>
  <si>
    <t>SRIJANI CHAKRABORTY</t>
  </si>
  <si>
    <t>srijani.rntc@gmail.com</t>
  </si>
  <si>
    <t>SrirakshaBN Raksha</t>
  </si>
  <si>
    <t>srirakshabn5@gmail.com</t>
  </si>
  <si>
    <t>Subhas Mukherjee</t>
  </si>
  <si>
    <t>subhas.mukherjee@cgi.com</t>
  </si>
  <si>
    <t>Subhra Dhar</t>
  </si>
  <si>
    <t>sdharmos@gmail.com</t>
  </si>
  <si>
    <t>Gwalior</t>
  </si>
  <si>
    <t>teacher_university</t>
  </si>
  <si>
    <t>Subrata Chattopadhyay</t>
  </si>
  <si>
    <t>subrata_chattopadhya@infosys.com</t>
  </si>
  <si>
    <t>Sucharita Bonthapally</t>
  </si>
  <si>
    <t>bisucharita@gmail.com</t>
  </si>
  <si>
    <t>Sufin Raj</t>
  </si>
  <si>
    <t>sun.rj7@gmail.com</t>
  </si>
  <si>
    <t>Sunil Sathyendra</t>
  </si>
  <si>
    <t>pungidasa@gmail.com</t>
  </si>
  <si>
    <t>Surmi Reddy</t>
  </si>
  <si>
    <t>surmireddy@gmail.com</t>
  </si>
  <si>
    <t>Swagata Mukherjee</t>
  </si>
  <si>
    <t>mukherjeeswagata092@gmail.com</t>
  </si>
  <si>
    <t>Durgapur</t>
  </si>
  <si>
    <t>SWAPAN KHATUA</t>
  </si>
  <si>
    <t>swapan.kum.khatua@hpe.com</t>
  </si>
  <si>
    <t>HPE</t>
  </si>
  <si>
    <t>Tanisha Karmakar</t>
  </si>
  <si>
    <t>tan2711ikarmakar@gmail.com</t>
  </si>
  <si>
    <t>Siliguri</t>
  </si>
  <si>
    <t>Tiasha De</t>
  </si>
  <si>
    <t>tiashadeofficial@gmail.com</t>
  </si>
  <si>
    <t>Usha Lal</t>
  </si>
  <si>
    <t>anjulal1@yahoo.co.in</t>
  </si>
  <si>
    <t>Word of Mouth</t>
  </si>
  <si>
    <t>Gurgaon</t>
  </si>
  <si>
    <t>Varun Singh</t>
  </si>
  <si>
    <t>varunsi0071@gmail.com</t>
  </si>
  <si>
    <t>Varanasi</t>
  </si>
  <si>
    <t>Veggalam Laxmi Narayana</t>
  </si>
  <si>
    <t>v.laxminarayana@accenture.com</t>
  </si>
  <si>
    <t>ACCENTURE</t>
  </si>
  <si>
    <t>Vinutha Kashyap</t>
  </si>
  <si>
    <t>vinuthakashyap26@gmail.com</t>
  </si>
  <si>
    <t>Teacher_id</t>
  </si>
  <si>
    <t>Teacher_name</t>
  </si>
  <si>
    <t>E-mail</t>
  </si>
  <si>
    <t>State</t>
  </si>
  <si>
    <t>Assigned date</t>
  </si>
  <si>
    <t>Dropped date</t>
  </si>
  <si>
    <t>Dropped Offerings</t>
  </si>
  <si>
    <t>Dropped offering names</t>
  </si>
  <si>
    <t>Reasons</t>
  </si>
  <si>
    <t>Dropped Offering count</t>
  </si>
  <si>
    <t>Currently active offerings</t>
  </si>
  <si>
    <t>Volunteer_id</t>
  </si>
  <si>
    <t>26/06/26 0:00</t>
  </si>
  <si>
    <t>GHPS Chikka Basavana Pura-7-English</t>
  </si>
  <si>
    <t>Got a new job</t>
  </si>
  <si>
    <t>19/01/26 12:15</t>
  </si>
  <si>
    <t>JHS Petadih Hirakhep-8-Conceptual Learning - Math</t>
  </si>
  <si>
    <t>Personal travel</t>
  </si>
  <si>
    <t>Rajrima Chakrabarty</t>
  </si>
  <si>
    <t>ascii.data@gmail.com</t>
  </si>
  <si>
    <t>19/01/26 11:26</t>
  </si>
  <si>
    <t>JHS Tamna-8-Conceptual Learning - Science</t>
  </si>
  <si>
    <t>Job change</t>
  </si>
  <si>
    <t>Sanchari Bhattacharya</t>
  </si>
  <si>
    <t>sanchari7440@gmail.com</t>
  </si>
  <si>
    <t>19/01/26 11:13</t>
  </si>
  <si>
    <t>MV Podlara-8-Conceptual Learning - Science</t>
  </si>
  <si>
    <t>14/03/26 11:35</t>
  </si>
  <si>
    <t>JHS Tamna-5-Conceptual Learning - Math</t>
  </si>
  <si>
    <t>16/02/26 13:19</t>
  </si>
  <si>
    <t>JHS Petadih Hirakhep-5-Conceptual Learning - Math</t>
  </si>
  <si>
    <t>Shifting to a new location/home</t>
  </si>
  <si>
    <t>29/06/26 0:00</t>
  </si>
  <si>
    <t>JHS Bongabari-8-Conceptual Learning - Science</t>
  </si>
  <si>
    <t>Time slots not matching</t>
  </si>
  <si>
    <t>JHS Petadih Hirakhep-6-English</t>
  </si>
  <si>
    <t>Higher studies/Preparing for exams</t>
  </si>
  <si>
    <t>Sinchana K</t>
  </si>
  <si>
    <t>sinchanakalal9@gmail.com</t>
  </si>
  <si>
    <t>20/04/26 11:39</t>
  </si>
  <si>
    <t>27/06/26 0:00</t>
  </si>
  <si>
    <t>UPS Itwa-7-English</t>
  </si>
  <si>
    <t>22/06/26 15:38</t>
  </si>
  <si>
    <t>GHPS Benakanakatti-6-English</t>
  </si>
  <si>
    <t>Month</t>
  </si>
  <si>
    <t>Offering_status</t>
  </si>
  <si>
    <t>Center name</t>
  </si>
  <si>
    <t>Updated_by</t>
  </si>
  <si>
    <t>id</t>
  </si>
  <si>
    <t>offering_id</t>
  </si>
  <si>
    <t>teacher_id</t>
  </si>
  <si>
    <t>created_date</t>
  </si>
  <si>
    <t>created_by_id</t>
  </si>
  <si>
    <t>updated_date</t>
  </si>
  <si>
    <t>updated_by_id</t>
  </si>
  <si>
    <t>booked_date</t>
  </si>
  <si>
    <t>dropped_category</t>
  </si>
  <si>
    <t>reject_reason</t>
  </si>
  <si>
    <t>orientation_date</t>
  </si>
  <si>
    <t>Reference Channel</t>
  </si>
  <si>
    <t>June</t>
  </si>
  <si>
    <t>RUPA BASU</t>
  </si>
  <si>
    <t>rupa.basu7@gmail.com</t>
  </si>
  <si>
    <t>Timings could not be offered for the selected course in this center</t>
  </si>
  <si>
    <t>Joseph Edward</t>
  </si>
  <si>
    <t>jedward002@gmail.com</t>
  </si>
  <si>
    <t>Admin 2</t>
  </si>
  <si>
    <t>Volunteer want another offering</t>
  </si>
  <si>
    <t>16/06/26</t>
  </si>
  <si>
    <t>98365 86083</t>
  </si>
  <si>
    <t>You have been assigned an alternate offering after discussion</t>
  </si>
  <si>
    <t>17/06/26</t>
  </si>
  <si>
    <t>Moumita Biswas</t>
  </si>
  <si>
    <t>biswasmoumita1214@gmail.com</t>
  </si>
  <si>
    <t>Volunteer want to discontinue</t>
  </si>
  <si>
    <t>Dona Sarkar</t>
  </si>
  <si>
    <t>donasarkar542@gmail.com</t>
  </si>
  <si>
    <t>MANISHKUMAR DASGUPTA</t>
  </si>
  <si>
    <t>manishkumardasguptaacademic12@gmail.com</t>
  </si>
  <si>
    <t>JHS Dumdumi</t>
  </si>
  <si>
    <t>Tufan Patra</t>
  </si>
  <si>
    <t>soumalyasmp@gmail.com</t>
  </si>
  <si>
    <t>Anisha Yadav</t>
  </si>
  <si>
    <t>anishapyadav@gmail.com</t>
  </si>
  <si>
    <t>No response from the volunteer in last 48 hrs</t>
  </si>
  <si>
    <t>21/06/26</t>
  </si>
  <si>
    <t>Avishikta Dutta</t>
  </si>
  <si>
    <t>avishiktadutta2005@yahoo.co.in</t>
  </si>
  <si>
    <t>PraveenRaj R</t>
  </si>
  <si>
    <t>raj2024.praveen@gmail.com</t>
  </si>
  <si>
    <t>Volunteer is not interested due to personal reasons</t>
  </si>
  <si>
    <t>Varshini TV</t>
  </si>
  <si>
    <t>Varshini.tv10@gmail.com</t>
  </si>
  <si>
    <t>Pending</t>
  </si>
  <si>
    <t>Bandana Mitra</t>
  </si>
  <si>
    <t>bandana.mitra@rediffmail.com</t>
  </si>
  <si>
    <t>Ritika Dey</t>
  </si>
  <si>
    <t>ritikadey.x@gmail.com</t>
  </si>
  <si>
    <t>Volunteer is not comfortable to take classes in regional language</t>
  </si>
  <si>
    <t>Sohini Chatterjee</t>
  </si>
  <si>
    <t>sohini.hort@gmail.com</t>
  </si>
  <si>
    <t>Volunteer did not turn up for orientation</t>
  </si>
  <si>
    <t>Sanjanaa Jeevan</t>
  </si>
  <si>
    <t>sanjanaprasadts@gmail.com</t>
  </si>
  <si>
    <t>Community Outreach</t>
  </si>
  <si>
    <t>Roopashri C</t>
  </si>
  <si>
    <t>attituderoops24@gmail.com</t>
  </si>
  <si>
    <t>BMS College of Engineering</t>
  </si>
  <si>
    <t>Harikha Naidu</t>
  </si>
  <si>
    <t>harikha.chowdhary8@gmail.com</t>
  </si>
  <si>
    <t>ZPHS Jangalapalli</t>
  </si>
  <si>
    <t>Aparna Murali</t>
  </si>
  <si>
    <t>aparnamkrishnan@gmail.com</t>
  </si>
  <si>
    <t>GHPS Plat Hyarada(Hyarada Plot)</t>
  </si>
  <si>
    <t>Rajani Rao</t>
  </si>
  <si>
    <t>gop.raj143@gmail.com</t>
  </si>
  <si>
    <t>96633 73744</t>
  </si>
  <si>
    <t>Ashwini S</t>
  </si>
  <si>
    <t>simplylive.ash@gmail.com</t>
  </si>
  <si>
    <t>Trisanth Badireddy</t>
  </si>
  <si>
    <t>trisanthbadireddy@gmail.com</t>
  </si>
  <si>
    <t>UHS Chengarbasa</t>
  </si>
  <si>
    <t>Housewife</t>
  </si>
  <si>
    <t>Ashish Dubey</t>
  </si>
  <si>
    <t>dubeyash5776@gmail.com</t>
  </si>
  <si>
    <t>UHS Lanka</t>
  </si>
  <si>
    <t>MS Mirzaganj-Moti</t>
  </si>
  <si>
    <t>User ID</t>
  </si>
  <si>
    <t>User Name</t>
  </si>
  <si>
    <t>Date Joined</t>
  </si>
  <si>
    <t>Gender</t>
  </si>
  <si>
    <t>Country</t>
  </si>
  <si>
    <t>City</t>
  </si>
  <si>
    <t>Role</t>
  </si>
  <si>
    <t>Anika Agarwal</t>
  </si>
  <si>
    <t>female</t>
  </si>
  <si>
    <t>anikaagarwal2004@gmail.com</t>
  </si>
  <si>
    <t>Saloni Agarwal</t>
  </si>
  <si>
    <t>saloni4agarwal@gmail.com</t>
  </si>
  <si>
    <t>Shahjahanpur</t>
  </si>
  <si>
    <t>Vaishnavi Anupindi</t>
  </si>
  <si>
    <t>vaishnavi.anupindi@gmail.com</t>
  </si>
  <si>
    <t>Devanhalli</t>
  </si>
  <si>
    <t>Vibhanshu Lodhi</t>
  </si>
  <si>
    <t>male</t>
  </si>
  <si>
    <t>vibhanshu.lodhi.iitd@gmail.com</t>
  </si>
  <si>
    <t>Agra</t>
  </si>
  <si>
    <t>Aastha Thapa</t>
  </si>
  <si>
    <t>aastha21thapa@gmail.com</t>
  </si>
  <si>
    <t>Chandigarh</t>
  </si>
  <si>
    <t>Ishwar Iyer</t>
  </si>
  <si>
    <t>codingishwar@gmail.com</t>
  </si>
  <si>
    <t>Devadyuti Sahoo</t>
  </si>
  <si>
    <t>dieshaofficial@gmail.com</t>
  </si>
  <si>
    <t>Jakku RaveenaReddy</t>
  </si>
  <si>
    <t>raveenareddy859@gmail.com</t>
  </si>
  <si>
    <t>Ranga Reddy district</t>
  </si>
  <si>
    <t>Priyanka Khatri</t>
  </si>
  <si>
    <t>iampriyankakhatri@gmail.com</t>
  </si>
  <si>
    <t>Jodhpur</t>
  </si>
  <si>
    <t>GAGANA N</t>
  </si>
  <si>
    <t>exsinchu@gmail.com</t>
  </si>
  <si>
    <t>YASHVI JANI</t>
  </si>
  <si>
    <t>yashvijani4@gmail.com</t>
  </si>
  <si>
    <t>Ayan Maiti</t>
  </si>
  <si>
    <t>ay.maiti@gmail.com</t>
  </si>
  <si>
    <t>Pune</t>
  </si>
  <si>
    <t>Vedansh Lachhiramka</t>
  </si>
  <si>
    <t>lachhiramkavedansh@gmail.com</t>
  </si>
  <si>
    <t>Ketan Jain</t>
  </si>
  <si>
    <t>ketanjain79u1@gmail.com</t>
  </si>
  <si>
    <t>Aishwarya Mohanty</t>
  </si>
  <si>
    <t>mohantyaishwarya540@gmail.com</t>
  </si>
  <si>
    <t>Mahalakshmi G</t>
  </si>
  <si>
    <t>mahaitg5606@gmail.com</t>
  </si>
  <si>
    <t>Priyamvada Jain</t>
  </si>
  <si>
    <t>priyamvada19jain@gmail.com</t>
  </si>
  <si>
    <t>Chittorgarh</t>
  </si>
  <si>
    <t>Powli Bose</t>
  </si>
  <si>
    <t>powlibose26@gmail.com</t>
  </si>
  <si>
    <t>Shreya Virvikram</t>
  </si>
  <si>
    <t>shreyavirvikram@gmail.com</t>
  </si>
  <si>
    <t>Meerut</t>
  </si>
  <si>
    <t>AKANKSHA JAIN</t>
  </si>
  <si>
    <t>akankshajain7416@gmail.com</t>
  </si>
  <si>
    <t>Delhi</t>
  </si>
  <si>
    <t>Anagha Patil</t>
  </si>
  <si>
    <t>anagha227@gmail.com</t>
  </si>
  <si>
    <t>Thane</t>
  </si>
  <si>
    <t>Surisetti Yagnesh</t>
  </si>
  <si>
    <t>yagnesh1619@gmail.com</t>
  </si>
  <si>
    <t>Visakhapatnam</t>
  </si>
  <si>
    <t>Saitejasree Pellakuri</t>
  </si>
  <si>
    <t>saipellakuri18@gmail.com</t>
  </si>
  <si>
    <t>Isha Mittal</t>
  </si>
  <si>
    <t>mittalisha26@gmail.com</t>
  </si>
  <si>
    <t>Teranika Tyagi</t>
  </si>
  <si>
    <t>bsmpp25teranikat@iimsambalpur.ac.in</t>
  </si>
  <si>
    <t>Ghaziabad</t>
  </si>
  <si>
    <t>Maitreyee Joshi</t>
  </si>
  <si>
    <t>maitru.100@gmail.com</t>
  </si>
  <si>
    <t>Nagpur</t>
  </si>
  <si>
    <t>Minerva Das</t>
  </si>
  <si>
    <t>minervadas4@gmail.com</t>
  </si>
  <si>
    <t>Assam</t>
  </si>
  <si>
    <t>Guwahati</t>
  </si>
  <si>
    <t>Radhika Kapoor</t>
  </si>
  <si>
    <t>radhikakapoor1512@gmail.com</t>
  </si>
  <si>
    <t>Ishita Ghosh</t>
  </si>
  <si>
    <t>ishitaabasketball@gmail.com</t>
  </si>
  <si>
    <t>Prerna Ahluwalia</t>
  </si>
  <si>
    <t>prernaahluwalia@gmail.com</t>
  </si>
  <si>
    <t>98110 05523</t>
  </si>
  <si>
    <t>Keerthi Allam</t>
  </si>
  <si>
    <t>keerthiallam05@gmail.com</t>
  </si>
  <si>
    <t>Nandhana S</t>
  </si>
  <si>
    <t>nandhana20zero4@gmail.com</t>
  </si>
  <si>
    <t>94000 22269</t>
  </si>
  <si>
    <t>Kerala</t>
  </si>
  <si>
    <t>Ernakulam</t>
  </si>
  <si>
    <t>ANAMIKA RANI</t>
  </si>
  <si>
    <t>anamika7934@gmail.com</t>
  </si>
  <si>
    <t>Bihar</t>
  </si>
  <si>
    <t>Munger</t>
  </si>
  <si>
    <t>AVANISH RANA</t>
  </si>
  <si>
    <t>arthakur02@gmail.com</t>
  </si>
  <si>
    <t>Etah</t>
  </si>
  <si>
    <t>Bhuvan Rajpoot</t>
  </si>
  <si>
    <t>bhuvanrajpoot.codes@gmail.com</t>
  </si>
  <si>
    <t>United Kingdom</t>
  </si>
  <si>
    <t>Birmingham</t>
  </si>
  <si>
    <t>Ladywood</t>
  </si>
  <si>
    <t>Harsh Pal</t>
  </si>
  <si>
    <t>harshpal12135@gmail.com</t>
  </si>
  <si>
    <t>Hardoi</t>
  </si>
  <si>
    <t>Shobana Rathnapal</t>
  </si>
  <si>
    <t>shobinew85@gmail.com</t>
  </si>
  <si>
    <t>Vedant Pawar</t>
  </si>
  <si>
    <t>vedantpawar1103@gmail.com</t>
  </si>
  <si>
    <t>Riya Chopra</t>
  </si>
  <si>
    <t>riyachopra414@gmail.com</t>
  </si>
  <si>
    <t>Canada</t>
  </si>
  <si>
    <t>Ontario</t>
  </si>
  <si>
    <t>Brampton</t>
  </si>
  <si>
    <t>Ankita Desai</t>
  </si>
  <si>
    <t>desaiankita4478@gmail.com</t>
  </si>
  <si>
    <t>Kolhapur</t>
  </si>
  <si>
    <t>Ashrita Patwari</t>
  </si>
  <si>
    <t>aashritapatwari@gmail.com</t>
  </si>
  <si>
    <t>Anushka Tomar</t>
  </si>
  <si>
    <t>anushkatomar644@gmail.com</t>
  </si>
  <si>
    <t>Baghpat</t>
  </si>
  <si>
    <t>Barathraj M</t>
  </si>
  <si>
    <t>barathrajravishankar@gmail.com</t>
  </si>
  <si>
    <t>Thiruchirapalli</t>
  </si>
  <si>
    <t>Bhumika Aparanji</t>
  </si>
  <si>
    <t>bhumika.aparanji@gmail.com</t>
  </si>
  <si>
    <t>Kreethika S</t>
  </si>
  <si>
    <t>kritikasingh393@gmail.com</t>
  </si>
  <si>
    <t>Andaman and Nicobar Islands</t>
  </si>
  <si>
    <t>Port Blair</t>
  </si>
  <si>
    <t>Zaid BinZahoor</t>
  </si>
  <si>
    <t>mattooz758@gmail.com</t>
  </si>
  <si>
    <t>Jammu and Kashmir</t>
  </si>
  <si>
    <t>Srinagar</t>
  </si>
  <si>
    <t>Ayush Kumar</t>
  </si>
  <si>
    <t>07ayushkumar@gmail.com</t>
  </si>
  <si>
    <t>Vishal Verma</t>
  </si>
  <si>
    <t>vv7898252320@gmail.com</t>
  </si>
  <si>
    <t>Arya Chaudhary</t>
  </si>
  <si>
    <t>aryachaudhary8476@gmail.com</t>
  </si>
  <si>
    <t>Firozabad</t>
  </si>
  <si>
    <t>Samir Suman</t>
  </si>
  <si>
    <t>samirsuman2496@gmail.com</t>
  </si>
  <si>
    <t>Gargi Bilwanikar</t>
  </si>
  <si>
    <t>bilwanikargargi@gmail.com</t>
  </si>
  <si>
    <t>Aurangabad</t>
  </si>
  <si>
    <t>Yashwin Singh</t>
  </si>
  <si>
    <t>yashwinformba@gmail.com</t>
  </si>
  <si>
    <t>P S</t>
  </si>
  <si>
    <t>phanisrinivas1104@gmail.com</t>
  </si>
  <si>
    <t>Jamshedpur</t>
  </si>
  <si>
    <t>Mayank Agrawal</t>
  </si>
  <si>
    <t>mayankkumaragrawal838@gmail.com</t>
  </si>
  <si>
    <t>Sambalpur</t>
  </si>
  <si>
    <t>Mahi Patel</t>
  </si>
  <si>
    <t>mahiiipatel29@gmail.com</t>
  </si>
  <si>
    <t>Gujarat</t>
  </si>
  <si>
    <t>Jamnagar</t>
  </si>
  <si>
    <t>Swathanthra Shree</t>
  </si>
  <si>
    <t>shreeswathanthra@gmail.com</t>
  </si>
  <si>
    <t>Abhishek Kumar</t>
  </si>
  <si>
    <t>kumarabhishekdhamdaha@gmail.com</t>
  </si>
  <si>
    <t>Punna Deshwari</t>
  </si>
  <si>
    <t>punnad04@gmail.com</t>
  </si>
  <si>
    <t>Chhattisgarh</t>
  </si>
  <si>
    <t>Ambikapur</t>
  </si>
  <si>
    <t>Priti Agarwal</t>
  </si>
  <si>
    <t>bartanbazartsk@gmail.com</t>
  </si>
  <si>
    <t>Tinsukia</t>
  </si>
  <si>
    <t>Eshwari Pawade</t>
  </si>
  <si>
    <t>20402eshwari@gmail.com</t>
  </si>
  <si>
    <t>Sibaprasad Mirda</t>
  </si>
  <si>
    <t>d65134802@gmail.com</t>
  </si>
  <si>
    <t>Purba Medinipur</t>
  </si>
  <si>
    <t>Aratrika Lahiri</t>
  </si>
  <si>
    <t>aratrikal@outlook.com</t>
  </si>
  <si>
    <t>ARCHANA KS</t>
  </si>
  <si>
    <t>archanaks2108@gmail.com</t>
  </si>
  <si>
    <t>Perumbavoor</t>
  </si>
  <si>
    <t>Poonam Poonam</t>
  </si>
  <si>
    <t>pr432730@gmail.com</t>
  </si>
  <si>
    <t>Mahendragarh</t>
  </si>
  <si>
    <t>MITAL Shelat</t>
  </si>
  <si>
    <t>Mitalshelat@gmail.com</t>
  </si>
  <si>
    <t>Qatar</t>
  </si>
  <si>
    <t>Doha</t>
  </si>
  <si>
    <t>Aniruddh Verma</t>
  </si>
  <si>
    <t>vaniruddh25@gmail.com</t>
  </si>
  <si>
    <t>Bhumi Foundation</t>
  </si>
  <si>
    <t>Khushi Agarwal</t>
  </si>
  <si>
    <t>akhushiagarwal18@gmail.com</t>
  </si>
  <si>
    <t>Ahmedabad</t>
  </si>
  <si>
    <t>AELE SATHYANARAYANA</t>
  </si>
  <si>
    <t>aelesathyanarayana45650@gmail.com</t>
  </si>
  <si>
    <t>Nalgonda</t>
  </si>
  <si>
    <t>Sakshi Pandey</t>
  </si>
  <si>
    <t>sourakshi1@gmail.com</t>
  </si>
  <si>
    <t>Anuj Khantwal</t>
  </si>
  <si>
    <t>anujkhantwal007@gmail.com</t>
  </si>
  <si>
    <t>Bijnor</t>
  </si>
  <si>
    <t>Jatin Sharma</t>
  </si>
  <si>
    <t>sjatin100@gmail.com</t>
  </si>
  <si>
    <t>Mohali</t>
  </si>
  <si>
    <t>MOHDALTAMASH FAROOQUI</t>
  </si>
  <si>
    <t>maltamashtariqueofficial@gmail.com</t>
  </si>
  <si>
    <t>Saher Hasnain</t>
  </si>
  <si>
    <t>saherhasnain83@gmail.com</t>
  </si>
  <si>
    <t>Ishan Garg</t>
  </si>
  <si>
    <t>shaancreator8@gmail.com</t>
  </si>
  <si>
    <t>Mitva Raval</t>
  </si>
  <si>
    <t>mitvaraval6@gmail.com</t>
  </si>
  <si>
    <t>Srishti Rawat</t>
  </si>
  <si>
    <t>srirawat1510@gmail.com</t>
  </si>
  <si>
    <t>ALMAS MANDLIK</t>
  </si>
  <si>
    <t>MAHAMMEDALMAS.MANDLIK@nmims.in</t>
  </si>
  <si>
    <t>Aadya Shankar</t>
  </si>
  <si>
    <t>aadya.shanker.787@gmail.com</t>
  </si>
  <si>
    <t>MAHEK Patel</t>
  </si>
  <si>
    <t>mahek6450@gmail.com</t>
  </si>
  <si>
    <t>Vadodara</t>
  </si>
  <si>
    <t>Shubham Pandey</t>
  </si>
  <si>
    <t>shubham.p20062003@gmail.com</t>
  </si>
  <si>
    <t>Barddhaman</t>
  </si>
  <si>
    <t>Ranjini Sarkar</t>
  </si>
  <si>
    <t>ranjinisarkar07@gmail.com</t>
  </si>
  <si>
    <t>Wisconsin</t>
  </si>
  <si>
    <t>Madison</t>
  </si>
  <si>
    <t>Sanju Rajak</t>
  </si>
  <si>
    <t>rajaksanju069@gmail.com</t>
  </si>
  <si>
    <t>Jabalpur</t>
  </si>
  <si>
    <t>Rajanya Shrivastava</t>
  </si>
  <si>
    <t>shreyashri1503@gmail.com</t>
  </si>
  <si>
    <t>Chhapra</t>
  </si>
  <si>
    <t>VAIBHAV PRAKHAR</t>
  </si>
  <si>
    <t>work.vaibhavprakhar@gmail.com</t>
  </si>
  <si>
    <t>Anushka Singh</t>
  </si>
  <si>
    <t>ms.anushka2108@gmail.com</t>
  </si>
  <si>
    <t>Greater Noida</t>
  </si>
  <si>
    <t>Sagnik Das</t>
  </si>
  <si>
    <t>sagnikd2006@gmail.com</t>
  </si>
  <si>
    <t>Ananda Bhattacharjee</t>
  </si>
  <si>
    <t>anandabhattacharjee18@gmail.com</t>
  </si>
  <si>
    <t>Aishwarya Pundir</t>
  </si>
  <si>
    <t>aish21092005@gmail.com</t>
  </si>
  <si>
    <t>Prakriti Kumari</t>
  </si>
  <si>
    <t>kumariprakriti0657@gmail.com</t>
  </si>
  <si>
    <t>Vignan Boddireddy</t>
  </si>
  <si>
    <t>vignanreddy8279@gmail.com</t>
  </si>
  <si>
    <t>Arohi Singhal</t>
  </si>
  <si>
    <t>singhalsiya21@gmail.com</t>
  </si>
  <si>
    <t>Anushka Anushka</t>
  </si>
  <si>
    <t>anushkashrivastava663@gmail.com</t>
  </si>
  <si>
    <t>Gaya</t>
  </si>
  <si>
    <t>Madhu Raj</t>
  </si>
  <si>
    <t>madhuraj089@gmail.com</t>
  </si>
  <si>
    <t>Maha Lakshmi</t>
  </si>
  <si>
    <t>mahalakshmib.719@gmail.com</t>
  </si>
  <si>
    <t>Madurai</t>
  </si>
  <si>
    <t>Poorna Chandu</t>
  </si>
  <si>
    <t>magnoliapoornachanduchandra@gmail.com</t>
  </si>
  <si>
    <t>Sulya</t>
  </si>
  <si>
    <t>Nishtha Mishra</t>
  </si>
  <si>
    <t>mishranishtha966@gmail.com</t>
  </si>
  <si>
    <t>Baramati</t>
  </si>
  <si>
    <t>Tanishka Nagar</t>
  </si>
  <si>
    <t>tanishkanagar01@gmail.com</t>
  </si>
  <si>
    <t>New Delhi</t>
  </si>
  <si>
    <t>Ambi Singh</t>
  </si>
  <si>
    <t>ambi@pharmazon.ltd</t>
  </si>
  <si>
    <t>Buckinghamshire</t>
  </si>
  <si>
    <t>High Wycombe</t>
  </si>
  <si>
    <t>Ayati Agrawal</t>
  </si>
  <si>
    <t>ayatiagrawal01@gmail.com</t>
  </si>
  <si>
    <t>Bhopal</t>
  </si>
  <si>
    <t>Isha Sidana</t>
  </si>
  <si>
    <t>ishasidana92@gmail.com</t>
  </si>
  <si>
    <t>Ludhiana</t>
  </si>
  <si>
    <t>Satvick Satvick</t>
  </si>
  <si>
    <t>satvick2001@gmail.com</t>
  </si>
  <si>
    <t>Rohtak</t>
  </si>
  <si>
    <t>Prakash Viswanathan</t>
  </si>
  <si>
    <t>pmvprakash@gmail.com</t>
  </si>
  <si>
    <t>Dhruvi Sheth</t>
  </si>
  <si>
    <t>dhruvi.sheth.04@gmail.com</t>
  </si>
  <si>
    <t>Ramneek Choudhary</t>
  </si>
  <si>
    <t>ramneekchoudhary49@gmail.com</t>
  </si>
  <si>
    <t>Imdadullah Khan</t>
  </si>
  <si>
    <t>khanimdad9721@gmail.com</t>
  </si>
  <si>
    <t>Gonda</t>
  </si>
  <si>
    <t>Shimah Fatima</t>
  </si>
  <si>
    <t>shimahfatima@gmail.com</t>
  </si>
  <si>
    <t>Lucknow</t>
  </si>
  <si>
    <t>Guru Vignesh</t>
  </si>
  <si>
    <t>guruvignesh016@gmail.com</t>
  </si>
  <si>
    <t>Roma Hundlani</t>
  </si>
  <si>
    <t>hundlaniroma@gmail.com</t>
  </si>
  <si>
    <t>Ajmer</t>
  </si>
  <si>
    <t>Ujjaini Srivastava</t>
  </si>
  <si>
    <t>ujjainisrivastava317@gmail.com</t>
  </si>
  <si>
    <t>Sultanpur</t>
  </si>
  <si>
    <t>Diya Sheth</t>
  </si>
  <si>
    <t>diyajb.25@gmail.com</t>
  </si>
  <si>
    <t>Mahad</t>
  </si>
  <si>
    <t>Bhavya Vipin</t>
  </si>
  <si>
    <t>bhavyavipin2007@gmail.com</t>
  </si>
  <si>
    <t>Khushi Patel</t>
  </si>
  <si>
    <t>khushipatel15h@gmail.com</t>
  </si>
  <si>
    <t>Shilpi Agrawal</t>
  </si>
  <si>
    <t>shilpiagrawal555@gmail.com</t>
  </si>
  <si>
    <t>Deepak Attri</t>
  </si>
  <si>
    <t>deepakattri2569@gmail.com</t>
  </si>
  <si>
    <t>Samba</t>
  </si>
  <si>
    <t>WhatsApp</t>
  </si>
  <si>
    <t>Leena Ishi</t>
  </si>
  <si>
    <t>linaishi01@gmail.com</t>
  </si>
  <si>
    <t>Nandurbar</t>
  </si>
  <si>
    <t>Manisha Paswan</t>
  </si>
  <si>
    <t>gia46607@gmail.com</t>
  </si>
  <si>
    <t>Akila Ravikumar</t>
  </si>
  <si>
    <t>akilaravikumar1999@gmail.com</t>
  </si>
  <si>
    <t>Denmark</t>
  </si>
  <si>
    <t>Kobenhavn</t>
  </si>
  <si>
    <t>Herlev</t>
  </si>
  <si>
    <t>DHANUSHWARAN S</t>
  </si>
  <si>
    <t>dhanushw06@gmail.com</t>
  </si>
  <si>
    <t>Maryam Amir</t>
  </si>
  <si>
    <t>maryamaamir61@gmail.com</t>
  </si>
  <si>
    <t>SAMIYAH FATIMA</t>
  </si>
  <si>
    <t>samiyah310308@gmail.com</t>
  </si>
  <si>
    <t>Dharshini Jayaprakash</t>
  </si>
  <si>
    <t>djaya4@uic.edu</t>
  </si>
  <si>
    <t>Illinois</t>
  </si>
  <si>
    <t>Cary</t>
  </si>
  <si>
    <t>Manthan Kalia</t>
  </si>
  <si>
    <t>manthankalia1@gmail.com</t>
  </si>
  <si>
    <t>Himachal Pradesh</t>
  </si>
  <si>
    <t>Una</t>
  </si>
  <si>
    <t>Ranjani Kumar</t>
  </si>
  <si>
    <t>ranjani.kay@gmail.com</t>
  </si>
  <si>
    <t>California</t>
  </si>
  <si>
    <t>San Jose</t>
  </si>
  <si>
    <t>Sagar Diwakar</t>
  </si>
  <si>
    <t>sagardiwakar@gmail.com</t>
  </si>
  <si>
    <t>Geetika Dang</t>
  </si>
  <si>
    <t>danggeetika321@gmail.com</t>
  </si>
  <si>
    <t>Goutam Kundu</t>
  </si>
  <si>
    <t>goutamkundu546@gmail.com</t>
  </si>
  <si>
    <t>Barasat</t>
  </si>
  <si>
    <t>Navdeep Kaur</t>
  </si>
  <si>
    <t>nk7845318@gmail.com</t>
  </si>
  <si>
    <t>Sanjay Sinha</t>
  </si>
  <si>
    <t>sanjaysinha2696@gmail.com</t>
  </si>
  <si>
    <t>Yuvika Shivhare</t>
  </si>
  <si>
    <t>yuvikashivhare2410@gmail.com</t>
  </si>
  <si>
    <t>Tamanna Vaishnav</t>
  </si>
  <si>
    <t>i25tamannav@iimidr.ac.in</t>
  </si>
  <si>
    <t>BHAVNA SAXENA</t>
  </si>
  <si>
    <t>9sonisaxena@gmail.com</t>
  </si>
  <si>
    <t>Noida</t>
  </si>
  <si>
    <t>Afreen Begum</t>
  </si>
  <si>
    <t>afreen4614@gmail.com</t>
  </si>
  <si>
    <t>Gunjan Chatterjee</t>
  </si>
  <si>
    <t>gunjan1998c@gmail.com</t>
  </si>
  <si>
    <t>Janani Dullur</t>
  </si>
  <si>
    <t>jananivaidyula@gmail.com</t>
  </si>
  <si>
    <t>Khushi Verma</t>
  </si>
  <si>
    <t>khushiverma1651@gmail.com</t>
  </si>
  <si>
    <t>Pawnni Sharma</t>
  </si>
  <si>
    <t>sharmapawnni08@gmail.com</t>
  </si>
  <si>
    <t>Hoshiarpur</t>
  </si>
  <si>
    <t>Nikitha Chandrashekar</t>
  </si>
  <si>
    <t>nikithacs17@gmail.com</t>
  </si>
  <si>
    <t>Shalendra Kumari</t>
  </si>
  <si>
    <t>shalendraganda@gmail.com</t>
  </si>
  <si>
    <t>Kharar</t>
  </si>
  <si>
    <t>Anisha Deshmukh</t>
  </si>
  <si>
    <t>deshmukhanisha13@gmail.com</t>
  </si>
  <si>
    <t>ARUL HRS</t>
  </si>
  <si>
    <t>arulhosur1609@gmail.com</t>
  </si>
  <si>
    <t>Warangal</t>
  </si>
  <si>
    <t>Kartik Chauhan</t>
  </si>
  <si>
    <t>kartikchauhan200005@gmail.com</t>
  </si>
  <si>
    <t>Kumar Shaurya</t>
  </si>
  <si>
    <t>pandey.shaurya01@gmail.com</t>
  </si>
  <si>
    <t>Vinita Shah</t>
  </si>
  <si>
    <t>vinitapshah2000@gmail.com</t>
  </si>
  <si>
    <t>Aparna Vishali Ayyalasomayajula</t>
  </si>
  <si>
    <t>vishali.m612@gmail.com</t>
  </si>
  <si>
    <t>School Revise</t>
  </si>
  <si>
    <t>Rishabh Sharma</t>
  </si>
  <si>
    <t>rishabhccet@gmail.com</t>
  </si>
  <si>
    <t>Mansi Goel</t>
  </si>
  <si>
    <t>dr.mansigoel@gmail.com</t>
  </si>
  <si>
    <t>Ritesh Madan</t>
  </si>
  <si>
    <t>riteshmadan500@gmail.com</t>
  </si>
  <si>
    <t>Indore</t>
  </si>
  <si>
    <t>Falak Naaz</t>
  </si>
  <si>
    <t>Falaknaaz12349@gmail.com</t>
  </si>
  <si>
    <t>Viraj Agashe</t>
  </si>
  <si>
    <t>agasheviraj28@gmail.com</t>
  </si>
  <si>
    <t>France</t>
  </si>
  <si>
    <t>Meurthe-et-Moselle</t>
  </si>
  <si>
    <t>Nancy</t>
  </si>
  <si>
    <t>Anoosha Zeeshan</t>
  </si>
  <si>
    <t>anoosha.z.info@gmail.com</t>
  </si>
  <si>
    <t>Nidhi Murmu</t>
  </si>
  <si>
    <t>nidhimurmu9@gmail.com</t>
  </si>
  <si>
    <t>Nuha Khan</t>
  </si>
  <si>
    <t>nnuhakhan.2006@gmail.com</t>
  </si>
  <si>
    <t>Hiya Popat</t>
  </si>
  <si>
    <t>hiyapopat10@gmail.con</t>
  </si>
  <si>
    <t>Hasini Karthik</t>
  </si>
  <si>
    <t>hasinimohan84@gmail.com</t>
  </si>
  <si>
    <t>Arizona</t>
  </si>
  <si>
    <t>Phoenix</t>
  </si>
  <si>
    <t>Harsh Gupta</t>
  </si>
  <si>
    <t>harshgupta215521@gmail.com</t>
  </si>
  <si>
    <t>Tvisha Jain</t>
  </si>
  <si>
    <t>tvisha2605@gmail.com</t>
  </si>
  <si>
    <t>Devesh Jhariya</t>
  </si>
  <si>
    <t>deveshjhariya94@gmail.com</t>
  </si>
  <si>
    <t>Divya Guglani</t>
  </si>
  <si>
    <t>divya.gm1111@gmail.com</t>
  </si>
  <si>
    <t>Riya Mishra</t>
  </si>
  <si>
    <t>ravi11december@gmail.com</t>
  </si>
  <si>
    <t>Dhoni Saroj</t>
  </si>
  <si>
    <t>msdhoni4815@gmail.com</t>
  </si>
  <si>
    <t>Pratapgarh</t>
  </si>
  <si>
    <t>Bhavna Kaul</t>
  </si>
  <si>
    <t>bhavnakaul17@gmail.com</t>
  </si>
  <si>
    <t>Saloni Jaiswal</t>
  </si>
  <si>
    <t>jaiswalsaloni020@gmail.com</t>
  </si>
  <si>
    <t>Farukh Khan</t>
  </si>
  <si>
    <t>fk587712@gmail.com</t>
  </si>
  <si>
    <t>Uffairah Khan</t>
  </si>
  <si>
    <t>uffairahk@gmail.com</t>
  </si>
  <si>
    <t>Akriti Charak</t>
  </si>
  <si>
    <t>akriticharak9126@gmail.com</t>
  </si>
  <si>
    <t>Jammu</t>
  </si>
  <si>
    <t>Priyanka Mandal</t>
  </si>
  <si>
    <t>santoshshalu33@gmail.com</t>
  </si>
  <si>
    <t>Aditi Sharma</t>
  </si>
  <si>
    <t>aditidsharma93@gmail.com</t>
  </si>
  <si>
    <t>Mississauga</t>
  </si>
  <si>
    <t>Aditi Chouksey</t>
  </si>
  <si>
    <t>aditichouksey52@gmail.com</t>
  </si>
  <si>
    <t>KRITI SHARMA</t>
  </si>
  <si>
    <t>kritisharma01000@gmail.com</t>
  </si>
  <si>
    <t>Anwesha Paul</t>
  </si>
  <si>
    <t>anweshapaul615@gmail.con</t>
  </si>
  <si>
    <t>Shivtekdi School</t>
  </si>
  <si>
    <t>Uwfj2@udaanwelfare.org</t>
  </si>
  <si>
    <t>Shiv Tekdi</t>
  </si>
  <si>
    <t>Abhiram Karanam</t>
  </si>
  <si>
    <t>karanamabhiram3@gmail.com</t>
  </si>
  <si>
    <t>Mahakali School</t>
  </si>
  <si>
    <t>Uwfa@udaanwelfare.org</t>
  </si>
  <si>
    <t>Mahakali</t>
  </si>
  <si>
    <t>Muskan Baliyan</t>
  </si>
  <si>
    <t>muskanbaliyan6@gmail.com</t>
  </si>
  <si>
    <t>Muzaffarnagar</t>
  </si>
  <si>
    <t>Anandwadi School</t>
  </si>
  <si>
    <t>Uwfm1@udaanwelfare.org</t>
  </si>
  <si>
    <t>Anandwadi</t>
  </si>
  <si>
    <t>Pathanwadi School</t>
  </si>
  <si>
    <t>Uwfm2@udaanwelfare.org</t>
  </si>
  <si>
    <t>Pathanwadi</t>
  </si>
  <si>
    <t>Damunagar School</t>
  </si>
  <si>
    <t>Uwfk@udaanwelfare.org</t>
  </si>
  <si>
    <t>Damunagar</t>
  </si>
  <si>
    <t>Premnagar School</t>
  </si>
  <si>
    <t>Uwfj1@udaanwelfare.org</t>
  </si>
  <si>
    <t>Premnagar</t>
  </si>
  <si>
    <t>Shivam Chatterjee</t>
  </si>
  <si>
    <t>shivamchatterjee471@gmail.com</t>
  </si>
  <si>
    <t>Amruta Rokade</t>
  </si>
  <si>
    <t>amrutagrokade@gmail.com</t>
  </si>
  <si>
    <t>Shambaditya Mondal</t>
  </si>
  <si>
    <t>mondalshankat@gmail.com</t>
  </si>
  <si>
    <t>P Sushmitha</t>
  </si>
  <si>
    <t>p.sushmitha141@gmail.com</t>
  </si>
  <si>
    <t>Anushree Agrawal</t>
  </si>
  <si>
    <t>24ume053@lnmiit.ac.in</t>
  </si>
  <si>
    <t>74711 48899</t>
  </si>
  <si>
    <t>Yash Patel</t>
  </si>
  <si>
    <t>ypatel6875@gmail.com</t>
  </si>
  <si>
    <t>Florida</t>
  </si>
  <si>
    <t>Orange Park</t>
  </si>
  <si>
    <t>Ankit Kumar</t>
  </si>
  <si>
    <t>tg902013@gmail.com</t>
  </si>
  <si>
    <t>Kanishk Nishar</t>
  </si>
  <si>
    <t>kanishknishar@outlook.com</t>
  </si>
  <si>
    <t>Ashish Ashish</t>
  </si>
  <si>
    <t>ashish9988877@gmail.com</t>
  </si>
  <si>
    <t>Jhajjar</t>
  </si>
  <si>
    <t>Pankaj Pankaj</t>
  </si>
  <si>
    <t>ypankaj0812@gmail.com</t>
  </si>
  <si>
    <t>Anu Priya</t>
  </si>
  <si>
    <t>anuadvitha97@gmail.com</t>
  </si>
  <si>
    <t>Hari Rambhatla</t>
  </si>
  <si>
    <t>rambhatla.hari@gmail.com</t>
  </si>
  <si>
    <t>Australia</t>
  </si>
  <si>
    <t>Victoria</t>
  </si>
  <si>
    <t>Melbourne</t>
  </si>
  <si>
    <t>Ramya Viswanathan</t>
  </si>
  <si>
    <t>ramyavish89@gmail.com</t>
  </si>
  <si>
    <t>Supriya Gopal</t>
  </si>
  <si>
    <t>gsupriyalatha@gmail.com</t>
  </si>
  <si>
    <t>Sayak Dipta</t>
  </si>
  <si>
    <t>sayak.dipta.dey@gmail.com</t>
  </si>
  <si>
    <t>Neeraj Lalwani</t>
  </si>
  <si>
    <t>neeraj.lalwani104@gmail.com</t>
  </si>
  <si>
    <t>Shristi Singh</t>
  </si>
  <si>
    <t>shristisinghchouhan53@gmail.com</t>
  </si>
  <si>
    <t>Ujjain</t>
  </si>
  <si>
    <t>Pratikhya Payal</t>
  </si>
  <si>
    <t>pratikhyapayal@gmail.com</t>
  </si>
  <si>
    <t>Kendrapara</t>
  </si>
  <si>
    <t>Kotana Sravya</t>
  </si>
  <si>
    <t>sravya0946@gmail.com</t>
  </si>
  <si>
    <t>Varshasai Sridhar</t>
  </si>
  <si>
    <t>varshasai2006@gmail.com</t>
  </si>
  <si>
    <t>Khushendra Prasad</t>
  </si>
  <si>
    <t>santram.kotnala@gmail.com</t>
  </si>
  <si>
    <t>Haridwar</t>
  </si>
  <si>
    <t>Khanak Rao</t>
  </si>
  <si>
    <t>khanakrao1611@gmail.com</t>
  </si>
  <si>
    <t>Raulji Mansi</t>
  </si>
  <si>
    <t>rjashpal2428@gmail.com</t>
  </si>
  <si>
    <t>Nagendra Doddabele</t>
  </si>
  <si>
    <t>nagendraseshadri4@gmail.com</t>
  </si>
  <si>
    <t>Eesha Kabra</t>
  </si>
  <si>
    <t>eeshakabra1@gmail.com</t>
  </si>
  <si>
    <t>Shruti Jha</t>
  </si>
  <si>
    <t>meditating21@gmail.com</t>
  </si>
  <si>
    <t>Namrata Nerurkar</t>
  </si>
  <si>
    <t>namratanerurkar02@gmail.com</t>
  </si>
  <si>
    <t>Siya Jagadi</t>
  </si>
  <si>
    <t>jagadisiya@gmail.com</t>
  </si>
  <si>
    <t>Vignesh Kaushik</t>
  </si>
  <si>
    <t>vigneshkaushik4@gmail.com</t>
  </si>
  <si>
    <t>Ameya Naik</t>
  </si>
  <si>
    <t>ameya.naik.201028@gmail.com</t>
  </si>
  <si>
    <t>Gandhinagar</t>
  </si>
  <si>
    <t>Himanshi Karmakar</t>
  </si>
  <si>
    <t>himanshik.1592@gmail.com</t>
  </si>
  <si>
    <t>Kaviyarasu R</t>
  </si>
  <si>
    <t>kavi77006@gmail.com</t>
  </si>
  <si>
    <t>Anish Sharma</t>
  </si>
  <si>
    <t>sharma.anish.5814@gmail.com</t>
  </si>
  <si>
    <t>Neemrana</t>
  </si>
  <si>
    <t>Muskan Choutel</t>
  </si>
  <si>
    <t>muskanchoutel00@gmail.com</t>
  </si>
  <si>
    <t>Raipur</t>
  </si>
  <si>
    <t>Akshitha Kamshetty</t>
  </si>
  <si>
    <t>akshitha9977@gmail.com</t>
  </si>
  <si>
    <t>Varun Jaiswal</t>
  </si>
  <si>
    <t>neelamjais3sep@gmail.com</t>
  </si>
  <si>
    <t>Jaunpur</t>
  </si>
  <si>
    <t>Anshul Tiwari</t>
  </si>
  <si>
    <t>anshul1995tiwari@gmail.com</t>
  </si>
  <si>
    <t>Suratgarh</t>
  </si>
  <si>
    <t>Rajeev Yadav</t>
  </si>
  <si>
    <t>ry912004@gmail.com</t>
  </si>
  <si>
    <t>Diya Shrivastava</t>
  </si>
  <si>
    <t>dhanashrishrivastava@gmail.com</t>
  </si>
  <si>
    <t>Ishaan Sharma</t>
  </si>
  <si>
    <t>ishaansharma862000@gmail.com</t>
  </si>
  <si>
    <t>Rohan RaveendraK</t>
  </si>
  <si>
    <t>rohanrk71147@gmail.com</t>
  </si>
  <si>
    <t>Aishwarya Srikanth</t>
  </si>
  <si>
    <t>aishwaryasrikanth18@gmail.com</t>
  </si>
  <si>
    <t>Sunita Bansal</t>
  </si>
  <si>
    <t>snitasnita@live.com</t>
  </si>
  <si>
    <t>Jalandhar</t>
  </si>
  <si>
    <t>Shivani Jha</t>
  </si>
  <si>
    <t>shivanijha0712@gmail.com</t>
  </si>
  <si>
    <t>Bettiah</t>
  </si>
  <si>
    <t>Drishti Agroyee</t>
  </si>
  <si>
    <t>ugcblisss.simran@gmail.com</t>
  </si>
  <si>
    <t>Arushi Pandit</t>
  </si>
  <si>
    <t>arushipandit228@gmail.com</t>
  </si>
  <si>
    <t>Krupal Tondwalkar</t>
  </si>
  <si>
    <t>krupaltondwalkar94@gmail.com</t>
  </si>
  <si>
    <t>Michigan</t>
  </si>
  <si>
    <t>Farmington Hills</t>
  </si>
  <si>
    <t>Divya Dharshini</t>
  </si>
  <si>
    <t>divyadharshini4602@gmail.com</t>
  </si>
  <si>
    <t>NAMAN RANA</t>
  </si>
  <si>
    <t>namansinghrana53@gmail.com</t>
  </si>
  <si>
    <t>Lakshmi V</t>
  </si>
  <si>
    <t>other</t>
  </si>
  <si>
    <t>Doli Shaktawat</t>
  </si>
  <si>
    <t>shaktawatdoli@gmail.com</t>
  </si>
  <si>
    <t>Bundi</t>
  </si>
  <si>
    <t>Ranjani Karthik</t>
  </si>
  <si>
    <t>ranjanikarthikmarch@gmail.com</t>
  </si>
  <si>
    <t>Rishav Raj</t>
  </si>
  <si>
    <t>rishabraj15760@gmail.com</t>
  </si>
  <si>
    <t>Lopasna P</t>
  </si>
  <si>
    <t>lopamudra725@gmail.com</t>
  </si>
  <si>
    <t>Sathvik Chennupati</t>
  </si>
  <si>
    <t>sathvik.1113.c@gmail.com</t>
  </si>
  <si>
    <t>Bijal Vaducha</t>
  </si>
  <si>
    <t>bijal.vaducha@gmail.com</t>
  </si>
  <si>
    <t>Middlesex</t>
  </si>
  <si>
    <t>Harrow</t>
  </si>
  <si>
    <t>Sudeendra Doddi</t>
  </si>
  <si>
    <t>sudeendradoddi@gmail.com</t>
  </si>
  <si>
    <t>Kent</t>
  </si>
  <si>
    <t>Orpington</t>
  </si>
  <si>
    <t>Sarim Akil</t>
  </si>
  <si>
    <t>sarimakil7347@gmail.com</t>
  </si>
  <si>
    <t>Siddharthnagar</t>
  </si>
  <si>
    <t>Helly Patel</t>
  </si>
  <si>
    <t>hellyrpatel5@gmail.com</t>
  </si>
  <si>
    <t>New York</t>
  </si>
  <si>
    <t>Ridhima Jain</t>
  </si>
  <si>
    <t>rjworks29@gmail.com</t>
  </si>
  <si>
    <t>Shikha Gupta</t>
  </si>
  <si>
    <t>shikhag2108@gmail.com</t>
  </si>
  <si>
    <t>Gangadhar Behera</t>
  </si>
  <si>
    <t>beheragangadhar31@gmail.com</t>
  </si>
  <si>
    <t>Balangir</t>
  </si>
  <si>
    <t>Kanishka Pandey</t>
  </si>
  <si>
    <t>py.kanishka2308@gmail.com</t>
  </si>
  <si>
    <t>Swathi R</t>
  </si>
  <si>
    <t>swathi.sr2212@gmail.com</t>
  </si>
  <si>
    <t>Nidhi Garg</t>
  </si>
  <si>
    <t>nidhi.garg249@gmail.com</t>
  </si>
  <si>
    <t>Eshasvi Thakur</t>
  </si>
  <si>
    <t>eshasvi2005@gmail.com</t>
  </si>
  <si>
    <t>Waraseoni</t>
  </si>
  <si>
    <t>Shahin Dange</t>
  </si>
  <si>
    <t>dangeshahin16@gmail.com</t>
  </si>
  <si>
    <t>Nipani</t>
  </si>
  <si>
    <t>Pipri</t>
  </si>
  <si>
    <t>Sehaj Randhawa</t>
  </si>
  <si>
    <t>randhawasehaj682@gmail.com</t>
  </si>
  <si>
    <t>Vartika Yadav</t>
  </si>
  <si>
    <t>Kheri</t>
  </si>
  <si>
    <t>Shaily Saini</t>
  </si>
  <si>
    <t>shailysaini123vv@gmail.com</t>
  </si>
  <si>
    <t>Alwar</t>
  </si>
  <si>
    <t>Karthika Balamurugan</t>
  </si>
  <si>
    <t>karthikakarthika6049@gmail.com</t>
  </si>
  <si>
    <t>Srivilliputtur</t>
  </si>
  <si>
    <t>Pratik Dalal</t>
  </si>
  <si>
    <t>dalalpratik2@gmail.com</t>
  </si>
  <si>
    <t>United Arab Emirates</t>
  </si>
  <si>
    <t>Dubai</t>
  </si>
  <si>
    <t>Harshitha Sureshkumar</t>
  </si>
  <si>
    <t>harshitha.nsk.14@gmail.com</t>
  </si>
  <si>
    <t>Siddharth G</t>
  </si>
  <si>
    <t>siddharthgodhani11b@gmail.com</t>
  </si>
  <si>
    <t>Sheetal Yadav</t>
  </si>
  <si>
    <t>avyukutsharma@gmail.com</t>
  </si>
  <si>
    <t>Bahror</t>
  </si>
  <si>
    <t>Sonal Khatri</t>
  </si>
  <si>
    <t>khatrisonaljdp@gmail.com</t>
  </si>
  <si>
    <t>Aathira Nambiar</t>
  </si>
  <si>
    <t>aathira.n802@gmail.com</t>
  </si>
  <si>
    <t>Aanya Chokhani</t>
  </si>
  <si>
    <t>chokhaniaanya@gmail.com</t>
  </si>
  <si>
    <t>Meghalaya</t>
  </si>
  <si>
    <t>Shillong</t>
  </si>
  <si>
    <t>Kanak Singhal</t>
  </si>
  <si>
    <t>kanaksinghal204@gmail.com</t>
  </si>
  <si>
    <t>Mathura</t>
  </si>
  <si>
    <t>Nitin Paranjape</t>
  </si>
  <si>
    <t>nitin.paranjape@gmail.com</t>
  </si>
  <si>
    <t>1-203-544-4152</t>
  </si>
  <si>
    <t>Connecticut</t>
  </si>
  <si>
    <t>Danbury</t>
  </si>
  <si>
    <t>Ashish Kumar</t>
  </si>
  <si>
    <t>ashishofficial3602@gmail.com</t>
  </si>
  <si>
    <t>Khushi Singh</t>
  </si>
  <si>
    <t>khushisingh83107@gmail.com</t>
  </si>
  <si>
    <t>Yuvraj Raghav</t>
  </si>
  <si>
    <t>yuvrajraghav2007@gmail.com</t>
  </si>
  <si>
    <t>Deepika Tyagi</t>
  </si>
  <si>
    <t>vattya1101@gmail.com</t>
  </si>
  <si>
    <t>Abhilasha Srivastwa</t>
  </si>
  <si>
    <t>avi6sri@gmail.com</t>
  </si>
  <si>
    <t>Gopalganj</t>
  </si>
  <si>
    <t>Sakshi Rai</t>
  </si>
  <si>
    <t>sakshirai2455@gmail.com</t>
  </si>
  <si>
    <t>Gorakhpur</t>
  </si>
  <si>
    <t>Abhinav Sangam</t>
  </si>
  <si>
    <t>sangamabhinav@gmail.com</t>
  </si>
  <si>
    <t>Prajakta Maraskolhe</t>
  </si>
  <si>
    <t>maraskolheprajakta@gmail.com</t>
  </si>
  <si>
    <t>Aarushi Katoch</t>
  </si>
  <si>
    <t>aarushikatoch15@gmail.com</t>
  </si>
  <si>
    <t>Dimple Lodaya</t>
  </si>
  <si>
    <t>motadimple9@gmail.com</t>
  </si>
  <si>
    <t>prajaktamarskolhe@gmail.com</t>
  </si>
  <si>
    <t>Renita R</t>
  </si>
  <si>
    <t>renita.rajakumar@gmail.com</t>
  </si>
  <si>
    <t>Tirunelveli</t>
  </si>
  <si>
    <t>Ritika Singh</t>
  </si>
  <si>
    <t>ritikasingh3290@gmail.com</t>
  </si>
  <si>
    <t>AYUSH KUMAR</t>
  </si>
  <si>
    <t>ayushjitendra28@gmail.com</t>
  </si>
  <si>
    <t>Patna</t>
  </si>
  <si>
    <t>Chirag Mittal</t>
  </si>
  <si>
    <t>chiragmittal905@gmail.com</t>
  </si>
  <si>
    <t>Aanandita Diwan</t>
  </si>
  <si>
    <t>annieteach101@gmail.com</t>
  </si>
  <si>
    <t>Yashas U</t>
  </si>
  <si>
    <t>yashas1001@gmail.com</t>
  </si>
  <si>
    <t>Arushi Singh</t>
  </si>
  <si>
    <t>arushi4525@gmail.com</t>
  </si>
  <si>
    <t>Rohit Paul</t>
  </si>
  <si>
    <t>dragonclawex@gmail.com</t>
  </si>
  <si>
    <t>Anirban Banerjee</t>
  </si>
  <si>
    <t>koolbana@gmail.com</t>
  </si>
  <si>
    <t>Pratibha Pandey</t>
  </si>
  <si>
    <t>pratibhapandey8502@gmail.com</t>
  </si>
  <si>
    <t>Lavanya Badhwar</t>
  </si>
  <si>
    <t>lavanyabadhwar.06@gmail.com</t>
  </si>
  <si>
    <t>Amarjeet Singh</t>
  </si>
  <si>
    <t>amarjeetsingh30061958@gmail.com</t>
  </si>
  <si>
    <t>Abheshkumar Yadav</t>
  </si>
  <si>
    <t>kumarabhesh@9694gmail.com</t>
  </si>
  <si>
    <t>Jamui</t>
  </si>
  <si>
    <t>Bhartiya Jan Utthan Parishad</t>
  </si>
  <si>
    <t>Karan Kumar</t>
  </si>
  <si>
    <t>karankumar7050550043@gmail.com</t>
  </si>
  <si>
    <t>Nawada</t>
  </si>
  <si>
    <t>VINIT KUMAR</t>
  </si>
  <si>
    <t>vinitkumar50017@gmail.com</t>
  </si>
  <si>
    <t>Minakshi Kumari</t>
  </si>
  <si>
    <t>m61188900@gmail.com</t>
  </si>
  <si>
    <t>Gulshan Kumar</t>
  </si>
  <si>
    <t>gulshankumarhs20018@gmail.com</t>
  </si>
  <si>
    <t>Sudha Tripathi</t>
  </si>
  <si>
    <t>sudha.tripathi09@gmail.com</t>
  </si>
  <si>
    <t>Shruti Kaul</t>
  </si>
  <si>
    <t>shrutikaul@yahoo.com</t>
  </si>
  <si>
    <t>Jyotsana Verma</t>
  </si>
  <si>
    <t>ro77shni@gmail.com</t>
  </si>
  <si>
    <t>Balrampur</t>
  </si>
  <si>
    <t>Gargi Jha</t>
  </si>
  <si>
    <t>phillyjha@gmail.com</t>
  </si>
  <si>
    <t>Daman and Diu</t>
  </si>
  <si>
    <t>Daman</t>
  </si>
  <si>
    <t>ANANNYA SINGH</t>
  </si>
  <si>
    <t>pummychoudhry77@gmail.com</t>
  </si>
  <si>
    <t>Priya Rawat</t>
  </si>
  <si>
    <t>priya343343rawat@gmail.com</t>
  </si>
  <si>
    <t>Ambala</t>
  </si>
  <si>
    <t>Priyam Tomar</t>
  </si>
  <si>
    <t>priyamneerajtomar@gmail.com</t>
  </si>
  <si>
    <t>Taran Duba</t>
  </si>
  <si>
    <t>tduba@bytesizedpython.org</t>
  </si>
  <si>
    <t>North Carolina</t>
  </si>
  <si>
    <t>Charlotte</t>
  </si>
  <si>
    <t>Gouri Mukherjee</t>
  </si>
  <si>
    <t>gouri8908@gmail.com</t>
  </si>
  <si>
    <t>Aditi Gupta</t>
  </si>
  <si>
    <t>gupta.aditi2060@gmail.com</t>
  </si>
  <si>
    <t>Amit Dubey</t>
  </si>
  <si>
    <t>amitdkumar2@gmail.com</t>
  </si>
  <si>
    <t>Dhanbad</t>
  </si>
  <si>
    <t>Isha Rani</t>
  </si>
  <si>
    <t>isharani144100@gmail.com</t>
  </si>
  <si>
    <t>Shikha Agarwal</t>
  </si>
  <si>
    <t>shikhaagarwal091@gmail.com</t>
  </si>
  <si>
    <t>Durga Deshmukh</t>
  </si>
  <si>
    <t>durgadeshmukh318@gmail.com</t>
  </si>
  <si>
    <t>Bhargavaram Kadiyala</t>
  </si>
  <si>
    <t>kbr.kadiyala@gmail.com</t>
  </si>
  <si>
    <t>Ravindra Srivastava</t>
  </si>
  <si>
    <t>rohan.srivastava.2024@iimu.ac.in</t>
  </si>
  <si>
    <t>Tanvi Madhaw</t>
  </si>
  <si>
    <t>tanvimadhaw1210@gmail.com</t>
  </si>
  <si>
    <t>Thvisha Shetty</t>
  </si>
  <si>
    <t>shettythvishaa@gmail.com</t>
  </si>
  <si>
    <t>Mysore</t>
  </si>
  <si>
    <t>Latchiya Bharathi</t>
  </si>
  <si>
    <t>latchiyabharathi25@gmail.com</t>
  </si>
  <si>
    <t>Bhavesh Parmar</t>
  </si>
  <si>
    <t>bhaveshparmaronline@gmail.com</t>
  </si>
  <si>
    <t>Mradul Tiwari</t>
  </si>
  <si>
    <t>mradulkrishan5@gmail.com</t>
  </si>
  <si>
    <t>Medha Jha</t>
  </si>
  <si>
    <t>medhashekharjha9@gmail.com</t>
  </si>
  <si>
    <t>Sitamarhi</t>
  </si>
  <si>
    <t>Richa Jaiswal</t>
  </si>
  <si>
    <t>richa08@gmail.com</t>
  </si>
  <si>
    <t>Pennsylvania</t>
  </si>
  <si>
    <t>Lansdale</t>
  </si>
  <si>
    <t>Chanchal Mahla</t>
  </si>
  <si>
    <t>ChanchalMahla5@gmail.com</t>
  </si>
  <si>
    <t>99924 63438</t>
  </si>
  <si>
    <t>Charkhi Dadri</t>
  </si>
  <si>
    <t>Paresh Wadekar</t>
  </si>
  <si>
    <t>paresh97.wadekar@gmail.com</t>
  </si>
  <si>
    <t>Sripriya KH</t>
  </si>
  <si>
    <t>k-h-sripriya@hpe.com</t>
  </si>
  <si>
    <t>Ritika Ritika</t>
  </si>
  <si>
    <t>ritikasingh.official59@gmail.com</t>
  </si>
  <si>
    <t>Bhavya Chaurasiya</t>
  </si>
  <si>
    <t>chaurasiyabhavya@gmail.com</t>
  </si>
  <si>
    <t>Bhilai</t>
  </si>
  <si>
    <t>Sandeep Agrawal</t>
  </si>
  <si>
    <t>atishaycraneexperts@gmail.com</t>
  </si>
  <si>
    <t>Naavya Anupoju</t>
  </si>
  <si>
    <t>anupojunaavya7@gmail.com</t>
  </si>
  <si>
    <t>Abhishek Chatterjee</t>
  </si>
  <si>
    <t>achatterjee903@gmail.com</t>
  </si>
  <si>
    <t>Vikas Omer</t>
  </si>
  <si>
    <t>vikas_0110@yahoo.co.in</t>
  </si>
  <si>
    <t>Singapore</t>
  </si>
  <si>
    <t>Divyanshi Verma</t>
  </si>
  <si>
    <t>vermadv1101@gmail.com</t>
  </si>
  <si>
    <t>Kanpur</t>
  </si>
  <si>
    <t>Sriramya Korakuti</t>
  </si>
  <si>
    <t>sri-ramya.k@hpe.com</t>
  </si>
  <si>
    <t>Shriya Mokashi</t>
  </si>
  <si>
    <t>shriyamokashi18@gmail.com</t>
  </si>
  <si>
    <t>Akiba Naj</t>
  </si>
  <si>
    <t>akibanaj034@gmail.com</t>
  </si>
  <si>
    <t>Chittran Roy</t>
  </si>
  <si>
    <t>rychitt@gmail.com</t>
  </si>
  <si>
    <t>ALI HASSAN</t>
  </si>
  <si>
    <t>ali-maruf.hassan@hpe.com</t>
  </si>
  <si>
    <t>AnushaKotresh Oli</t>
  </si>
  <si>
    <t>anusha.kotresh-oli@hpe.com</t>
  </si>
  <si>
    <t>Hemlata Malani</t>
  </si>
  <si>
    <t>hm.capvent@gmail.com</t>
  </si>
  <si>
    <t>Deepa Menon</t>
  </si>
  <si>
    <t>deepajai81@gmail.com</t>
  </si>
  <si>
    <t>Ohio</t>
  </si>
  <si>
    <t>Columbus</t>
  </si>
  <si>
    <t>Prabhath Rayarao</t>
  </si>
  <si>
    <t>prabhath.rayarao@hpe.com</t>
  </si>
  <si>
    <t>Mehak Tekchandani</t>
  </si>
  <si>
    <t>mehak_mt15@icloud.com</t>
  </si>
  <si>
    <t>Toronto</t>
  </si>
  <si>
    <t>Sonali Singla</t>
  </si>
  <si>
    <t>singlasonali12345@gmail.com</t>
  </si>
  <si>
    <t>Moga</t>
  </si>
  <si>
    <t>Shreya Garg</t>
  </si>
  <si>
    <t>shreya25garg@gmail.com</t>
  </si>
  <si>
    <t>Smriti Halder</t>
  </si>
  <si>
    <t>smritihaldar741502@gmail.com</t>
  </si>
  <si>
    <t>Reola Banerjee</t>
  </si>
  <si>
    <t>reolabanerjeeecstatic@gmail.com</t>
  </si>
  <si>
    <t>Utsa Mondal</t>
  </si>
  <si>
    <t>utsamondal2003@gmail.com</t>
  </si>
  <si>
    <t>Harshita Mishra</t>
  </si>
  <si>
    <t>harshita7mishra@gmail.com</t>
  </si>
  <si>
    <t>Prissha SV</t>
  </si>
  <si>
    <t>prissha.selvaraj-venkatesh@hpe.com</t>
  </si>
  <si>
    <t>Tiruvottiyur</t>
  </si>
  <si>
    <t>Bindhiya B</t>
  </si>
  <si>
    <t>bindhiya.b@hpe.com</t>
  </si>
  <si>
    <t>Madhavaram</t>
  </si>
  <si>
    <t>Ritu Mishra</t>
  </si>
  <si>
    <t>ritucreates21@gmail.com</t>
  </si>
  <si>
    <t>Arpita Sengupta</t>
  </si>
  <si>
    <t>arpita.sengupta12@gmail.com</t>
  </si>
  <si>
    <t>Akanksha Chawla</t>
  </si>
  <si>
    <t>studentmail.chawla@gmail.com</t>
  </si>
  <si>
    <t>Germany</t>
  </si>
  <si>
    <t>Bayern</t>
  </si>
  <si>
    <t>Munchen</t>
  </si>
  <si>
    <t>Nidhi Chauhan</t>
  </si>
  <si>
    <t>kanaksinghthakur12345@gmail.com</t>
  </si>
  <si>
    <t>Manishita Sahu</t>
  </si>
  <si>
    <t>manishitasahu742123@gmail.com</t>
  </si>
  <si>
    <t>Jiaganj-Azimganj</t>
  </si>
  <si>
    <t>PROMIT KUMARBHAUMIK</t>
  </si>
  <si>
    <t>promit.bhaumik@gmail.com</t>
  </si>
  <si>
    <t>Ruba Siftat Khan</t>
  </si>
  <si>
    <t>khanrubz3@gmail.com</t>
  </si>
  <si>
    <t>Rampur</t>
  </si>
  <si>
    <t>Neetha Raja</t>
  </si>
  <si>
    <t>neetharaja@hotmail.com</t>
  </si>
  <si>
    <t>Sneha Sharma</t>
  </si>
  <si>
    <t>sneharaj003@gmail.com</t>
  </si>
  <si>
    <t>Mehak Sejwal</t>
  </si>
  <si>
    <t>sejwalmehak@gmail.com</t>
  </si>
  <si>
    <t>Atul Gupta</t>
  </si>
  <si>
    <t>atulguptanov22@gmail.com</t>
  </si>
  <si>
    <t>Manik Garg</t>
  </si>
  <si>
    <t>manikkgarg@gmail.com</t>
  </si>
  <si>
    <t>Rahul Sharma</t>
  </si>
  <si>
    <t>rahulr7sharma@gmail.com</t>
  </si>
  <si>
    <t>Harshit Singh</t>
  </si>
  <si>
    <t>87572355az@gmail.com</t>
  </si>
  <si>
    <t>Begusarai</t>
  </si>
  <si>
    <t>Amarja Dhepe</t>
  </si>
  <si>
    <t>amarjadhepe17@gmail.com</t>
  </si>
  <si>
    <t>Kalamb</t>
  </si>
  <si>
    <t>Tarini Suneja</t>
  </si>
  <si>
    <t>edu.suneja@gmail.com</t>
  </si>
  <si>
    <t>Sheetal Kumari</t>
  </si>
  <si>
    <t>radhikaaadc@gmail.com</t>
  </si>
  <si>
    <t>Hansi</t>
  </si>
  <si>
    <t>Lokesh Waswani</t>
  </si>
  <si>
    <t>lokeshwaswani23@gmail.com</t>
  </si>
  <si>
    <t>Sharvaree Kalele</t>
  </si>
  <si>
    <t>sharvareekalele37@gmail.com</t>
  </si>
  <si>
    <t>Shubham Kumarkashyap</t>
  </si>
  <si>
    <t>shubham5274927@gmail.com</t>
  </si>
  <si>
    <t>Vinuthna Kovvuru</t>
  </si>
  <si>
    <t>vinuthnavanikovvuru@gmail.com</t>
  </si>
  <si>
    <t>Cuddapah</t>
  </si>
  <si>
    <t>Asha Chaudhary</t>
  </si>
  <si>
    <t>dhvanichaudhary13@gmail.com</t>
  </si>
  <si>
    <t>Deesa</t>
  </si>
  <si>
    <t>TANYA CHOURASIA</t>
  </si>
  <si>
    <t>AKANDCOMPANY62@gmail.com</t>
  </si>
  <si>
    <t>Tanaya Thakur</t>
  </si>
  <si>
    <t>tanayacy@gmail.com</t>
  </si>
  <si>
    <t>Murshidabad</t>
  </si>
  <si>
    <t>Chinmayee Paltasingh</t>
  </si>
  <si>
    <t>monysingh420@gmail.com</t>
  </si>
  <si>
    <t>Puri</t>
  </si>
  <si>
    <t>Muskan Singh</t>
  </si>
  <si>
    <t>muskan01official@gmail.com</t>
  </si>
  <si>
    <t>Ridhi Tanwar</t>
  </si>
  <si>
    <t>ridhitanwar36@gmail.com</t>
  </si>
  <si>
    <t>Richa Aggrawal</t>
  </si>
  <si>
    <t>richaaggrawal1973@gmail.com</t>
  </si>
  <si>
    <t>ANIL Rathor</t>
  </si>
  <si>
    <t>anilrathor466@gmail.com</t>
  </si>
  <si>
    <t>Ratangarh</t>
  </si>
  <si>
    <t>Ananya Arora</t>
  </si>
  <si>
    <t>ananyaarora2611@gmail.com</t>
  </si>
  <si>
    <t>Jhansi</t>
  </si>
  <si>
    <t>Bavadharani Ramasundaram</t>
  </si>
  <si>
    <t>bhavadharanicbe97@gmail.com</t>
  </si>
  <si>
    <t>Peer Mohammed</t>
  </si>
  <si>
    <t>peermohammed1117@gmail.com</t>
  </si>
  <si>
    <t>Devadurga</t>
  </si>
  <si>
    <t>tamanna2007vaishnav@gmail.com</t>
  </si>
  <si>
    <t>Jagadish Bharath</t>
  </si>
  <si>
    <t>jagadishb.985@gmail.com</t>
  </si>
  <si>
    <t>Kanishka Pathak</t>
  </si>
  <si>
    <t>explorer.kali6.0@gmail.com</t>
  </si>
  <si>
    <t>Somesh Bm</t>
  </si>
  <si>
    <t>someshbm98@gmail.com</t>
  </si>
  <si>
    <t>Mulbagal</t>
  </si>
  <si>
    <t>Ganesh Ramakrishnan</t>
  </si>
  <si>
    <t>miscgan@gmail.com</t>
  </si>
  <si>
    <t>Devendra Kumar</t>
  </si>
  <si>
    <t>Devendrarajbharg143@gmail.com</t>
  </si>
  <si>
    <t>Radhika Kannan</t>
  </si>
  <si>
    <t>radhikak.6368@gmail.com</t>
  </si>
  <si>
    <t>Bharath G</t>
  </si>
  <si>
    <t>barathg03@gmail.com</t>
  </si>
  <si>
    <t>Poornima Shankar</t>
  </si>
  <si>
    <t>poornima.shashikumar@gmail.com</t>
  </si>
  <si>
    <t>ANGEL AGNOLAR</t>
  </si>
  <si>
    <t>angelagnola.ee25@krct.ac.in</t>
  </si>
  <si>
    <t>Dola Konala</t>
  </si>
  <si>
    <t>konaladolanageswari@gmail.com</t>
  </si>
  <si>
    <t>Rajahmundry</t>
  </si>
  <si>
    <t>Vishul Kumar</t>
  </si>
  <si>
    <t>vishulk087@gmail.com</t>
  </si>
  <si>
    <t>Aman Singh</t>
  </si>
  <si>
    <t>amansingh11.as4@gmail.com</t>
  </si>
  <si>
    <t>Manmohan Sahu</t>
  </si>
  <si>
    <t>manmohansahu66@gmail.com</t>
  </si>
  <si>
    <t>Jatni</t>
  </si>
  <si>
    <t>Deepti Sahu</t>
  </si>
  <si>
    <t>deeptisahureena@gmail.com</t>
  </si>
  <si>
    <t>Mohd Zaid</t>
  </si>
  <si>
    <t>mohd.zaidmahir@gmail.com</t>
  </si>
  <si>
    <t>Manvika Singh</t>
  </si>
  <si>
    <t>manvikasingh15@gmail.com</t>
  </si>
  <si>
    <t>Netherlands The</t>
  </si>
  <si>
    <t>Noord-Brabant</t>
  </si>
  <si>
    <t>Eindhoven</t>
  </si>
  <si>
    <t>Srihitha Nadella</t>
  </si>
  <si>
    <t>srihithanadellaa@gmail.com</t>
  </si>
  <si>
    <t>Srishti Panwar</t>
  </si>
  <si>
    <t>srishtipanwar31@gmail.com</t>
  </si>
  <si>
    <t>Pratyush Shukla</t>
  </si>
  <si>
    <t>shuklapratyush05@gmail.com</t>
  </si>
  <si>
    <t>Rae Bareilly</t>
  </si>
  <si>
    <t>Gourilakshmi S</t>
  </si>
  <si>
    <t>gourilakshmis78@gmail.com</t>
  </si>
  <si>
    <t>Vaikam</t>
  </si>
  <si>
    <t>KRRISH KUMAR</t>
  </si>
  <si>
    <t>krrishkumar1234muz@gmail.com</t>
  </si>
  <si>
    <t>Muzaffarpur</t>
  </si>
  <si>
    <t>Kirti Motwani</t>
  </si>
  <si>
    <t>kirtimotwani.in@gmail.com</t>
  </si>
  <si>
    <t>Ashwin Gupta</t>
  </si>
  <si>
    <t>guptaashwin896@gmail.com</t>
  </si>
  <si>
    <t>Manish Gangele</t>
  </si>
  <si>
    <t>gangelemanish490@gmail.com</t>
  </si>
  <si>
    <t>Pratyush Jain</t>
  </si>
  <si>
    <t>pjdev02@gmail.com</t>
  </si>
  <si>
    <t>Rahul Rai</t>
  </si>
  <si>
    <t>rai.berahul@outlook.com</t>
  </si>
  <si>
    <t>Ashu Garg</t>
  </si>
  <si>
    <t>gargashu148@gmail.com</t>
  </si>
  <si>
    <t>Meenakshi Annamalaikumar</t>
  </si>
  <si>
    <t>ameenakumar@gmail.com</t>
  </si>
  <si>
    <t>Riddhi Aggarwal</t>
  </si>
  <si>
    <t>aggarwalriddhi8586@gmail.com</t>
  </si>
  <si>
    <t>Akanksha Tripathi</t>
  </si>
  <si>
    <t>akankshatripathi09554@gmail.com</t>
  </si>
  <si>
    <t>Allahabad</t>
  </si>
  <si>
    <t>Neha Gawade</t>
  </si>
  <si>
    <t>nehagawade.we@gmail.com</t>
  </si>
  <si>
    <t>Arushi Agarwal</t>
  </si>
  <si>
    <t>arushi18@gmail.com</t>
  </si>
  <si>
    <t>Ayush Jaiswal</t>
  </si>
  <si>
    <t>25jgls-ajaiswal@jgu.edu.in</t>
  </si>
  <si>
    <t>Atharva Suryawanshi</t>
  </si>
  <si>
    <t>fundfolk@gmail.com</t>
  </si>
  <si>
    <t>Meghana GA</t>
  </si>
  <si>
    <t>applicant.meghana@gmail.com</t>
  </si>
  <si>
    <t>kalelesharvaree@gmail.com</t>
  </si>
  <si>
    <t>Saptak Mandal</t>
  </si>
  <si>
    <t>saptak5az@gmail.com</t>
  </si>
  <si>
    <t>Sonali Sharma</t>
  </si>
  <si>
    <t>sonali.sharma@iuu.ac</t>
  </si>
  <si>
    <t>Sarika O</t>
  </si>
  <si>
    <t>sarikasarikaseervi546@gmail.com</t>
  </si>
  <si>
    <t>Riya Prabhakar</t>
  </si>
  <si>
    <t>riyaprabhakar04@gmail.com</t>
  </si>
  <si>
    <t>Sumedha Shyamroy</t>
  </si>
  <si>
    <t>shyamroysumedha@gmail.com</t>
  </si>
  <si>
    <t>Navi Mumbai Panvel</t>
  </si>
  <si>
    <t>Sumit Shukla</t>
  </si>
  <si>
    <t>sumitshukla979304@gmail.com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</si>
</sst>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mm/dd/yy"/>
    <numFmt numFmtId="165" formatCode="yyyy-mm-dd h:mm:ss"/>
    <numFmt numFmtId="166" formatCode="mm/dd/yy h:mm"/>
  </numFmts>
  <fonts count="3">
    <font>
      <sz val="10.0"/>
      <color rgb="FF000000"/>
      <name val="Arial"/>
      <scheme val="minor"/>
    </font>
    <font>
      <b/>
      <sz val="12.0"/>
      <color rgb="FF000000"/>
      <name val="Calibri"/>
    </font>
    <font>
      <sz val="12.0"/>
      <color rgb="FF000000"/>
      <name val="Calibri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9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 shrinkToFit="0" vertical="bottom" wrapText="0"/>
    </xf>
    <xf borderId="0" fillId="0" fontId="2" numFmtId="0" xfId="0" applyAlignment="1" applyFont="1">
      <alignment readingOrder="0" shrinkToFit="0" vertical="bottom" wrapText="0"/>
    </xf>
    <xf borderId="0" fillId="0" fontId="2" numFmtId="0" xfId="0" applyAlignment="1" applyFont="1">
      <alignment horizontal="right" readingOrder="0" shrinkToFit="0" vertical="bottom" wrapText="0"/>
    </xf>
    <xf borderId="0" fillId="0" fontId="2" numFmtId="164" xfId="0" applyAlignment="1" applyFont="1" applyNumberFormat="1">
      <alignment horizontal="right" readingOrder="0" shrinkToFit="0" vertical="bottom" wrapText="0"/>
    </xf>
    <xf borderId="0" fillId="0" fontId="2" numFmtId="165" xfId="0" applyAlignment="1" applyFont="1" applyNumberFormat="1">
      <alignment readingOrder="0" shrinkToFit="0" vertical="bottom" wrapText="0"/>
    </xf>
    <xf borderId="0" fillId="0" fontId="2" numFmtId="0" xfId="0" applyAlignment="1" applyFont="1">
      <alignment shrinkToFit="0" vertical="bottom" wrapText="0"/>
    </xf>
    <xf borderId="0" fillId="0" fontId="2" numFmtId="166" xfId="0" applyAlignment="1" applyFont="1" applyNumberFormat="1">
      <alignment horizontal="right" readingOrder="0" shrinkToFit="0" vertical="bottom" wrapText="0"/>
    </xf>
    <xf borderId="0" fillId="0" fontId="2" numFmtId="11" xfId="0" applyAlignment="1" applyFont="1" applyNumberFormat="1">
      <alignment horizontal="right" readingOrder="0"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</row>
    <row r="2">
      <c r="A2" s="2" t="s">
        <v>41</v>
      </c>
      <c r="B2" s="3">
        <v>40219.0</v>
      </c>
      <c r="C2" s="4">
        <v>46026.0</v>
      </c>
      <c r="D2" s="3" t="s">
        <v>42</v>
      </c>
      <c r="E2" s="2" t="s">
        <v>43</v>
      </c>
      <c r="F2" s="3">
        <v>89254.0</v>
      </c>
      <c r="G2" s="2" t="s">
        <v>44</v>
      </c>
      <c r="H2" s="2" t="s">
        <v>45</v>
      </c>
      <c r="I2" s="3">
        <v>8.369227724E9</v>
      </c>
      <c r="J2" s="5">
        <v>46108.810219907406</v>
      </c>
      <c r="K2" s="2" t="s">
        <v>46</v>
      </c>
      <c r="L2" s="2" t="s">
        <v>47</v>
      </c>
      <c r="M2" s="2" t="s">
        <v>48</v>
      </c>
      <c r="N2" s="2" t="s">
        <v>49</v>
      </c>
      <c r="O2" s="2" t="s">
        <v>50</v>
      </c>
      <c r="P2" s="3">
        <v>1984.0</v>
      </c>
      <c r="Q2" s="2" t="s">
        <v>51</v>
      </c>
      <c r="R2" s="2" t="s">
        <v>52</v>
      </c>
      <c r="S2" s="2" t="s">
        <v>53</v>
      </c>
      <c r="T2" s="2" t="s">
        <v>54</v>
      </c>
      <c r="U2" s="2" t="s">
        <v>55</v>
      </c>
      <c r="V2" s="2" t="s">
        <v>56</v>
      </c>
      <c r="W2" s="2" t="s">
        <v>57</v>
      </c>
      <c r="X2" s="3">
        <v>7.0</v>
      </c>
      <c r="Y2" s="2" t="s">
        <v>58</v>
      </c>
      <c r="Z2" s="3">
        <v>41.0</v>
      </c>
      <c r="AA2" s="3">
        <v>23.0</v>
      </c>
      <c r="AB2" s="3">
        <v>18.0</v>
      </c>
      <c r="AC2" s="3">
        <v>41.0</v>
      </c>
      <c r="AD2" s="3">
        <v>23.0</v>
      </c>
      <c r="AE2" s="3">
        <v>18.0</v>
      </c>
      <c r="AF2" s="4">
        <v>46028.0</v>
      </c>
      <c r="AG2" s="3" t="s">
        <v>59</v>
      </c>
      <c r="AH2" s="3">
        <v>8.0</v>
      </c>
      <c r="AI2" s="3">
        <v>0.0</v>
      </c>
      <c r="AJ2" s="3">
        <v>6.0</v>
      </c>
      <c r="AK2" s="3">
        <v>0.0</v>
      </c>
      <c r="AL2" s="3">
        <v>2.0</v>
      </c>
      <c r="AM2" s="3">
        <v>6.0</v>
      </c>
      <c r="AN2" s="3">
        <v>55.0</v>
      </c>
      <c r="AO2" s="3">
        <v>70.51</v>
      </c>
    </row>
    <row r="3">
      <c r="A3" s="2" t="s">
        <v>41</v>
      </c>
      <c r="B3" s="3">
        <v>40042.0</v>
      </c>
      <c r="C3" s="3" t="s">
        <v>60</v>
      </c>
      <c r="D3" s="3" t="s">
        <v>42</v>
      </c>
      <c r="E3" s="2" t="s">
        <v>43</v>
      </c>
      <c r="F3" s="3">
        <v>85104.0</v>
      </c>
      <c r="G3" s="2" t="s">
        <v>61</v>
      </c>
      <c r="H3" s="2" t="s">
        <v>62</v>
      </c>
      <c r="I3" s="3">
        <v>8.373842088E9</v>
      </c>
      <c r="J3" s="5">
        <v>45890.723449074074</v>
      </c>
      <c r="K3" s="2" t="s">
        <v>63</v>
      </c>
      <c r="L3" s="2" t="s">
        <v>64</v>
      </c>
      <c r="M3" s="2" t="s">
        <v>65</v>
      </c>
      <c r="N3" s="2" t="s">
        <v>49</v>
      </c>
      <c r="O3" s="2" t="s">
        <v>50</v>
      </c>
      <c r="P3" s="3">
        <v>95.0</v>
      </c>
      <c r="Q3" s="2" t="s">
        <v>66</v>
      </c>
      <c r="R3" s="2" t="s">
        <v>65</v>
      </c>
      <c r="S3" s="2" t="s">
        <v>67</v>
      </c>
      <c r="T3" s="2" t="s">
        <v>68</v>
      </c>
      <c r="U3" s="2" t="s">
        <v>55</v>
      </c>
      <c r="V3" s="2" t="s">
        <v>69</v>
      </c>
      <c r="W3" s="2" t="s">
        <v>57</v>
      </c>
      <c r="X3" s="3">
        <v>6.0</v>
      </c>
      <c r="Y3" s="2" t="s">
        <v>70</v>
      </c>
      <c r="Z3" s="3">
        <v>132.0</v>
      </c>
      <c r="AA3" s="3">
        <v>79.0</v>
      </c>
      <c r="AB3" s="3">
        <v>53.0</v>
      </c>
      <c r="AC3" s="3">
        <v>116.0</v>
      </c>
      <c r="AD3" s="3">
        <v>66.0</v>
      </c>
      <c r="AE3" s="3">
        <v>50.0</v>
      </c>
      <c r="AF3" s="4">
        <v>46271.0</v>
      </c>
      <c r="AG3" s="3" t="s">
        <v>71</v>
      </c>
      <c r="AH3" s="3">
        <v>7.0</v>
      </c>
      <c r="AI3" s="3">
        <v>0.0</v>
      </c>
      <c r="AJ3" s="3">
        <v>0.0</v>
      </c>
      <c r="AK3" s="3">
        <v>7.0</v>
      </c>
      <c r="AL3" s="3">
        <v>0.0</v>
      </c>
      <c r="AM3" s="3">
        <v>7.0</v>
      </c>
      <c r="AN3" s="3">
        <v>243.0</v>
      </c>
      <c r="AO3" s="3">
        <v>77.14</v>
      </c>
    </row>
    <row r="4">
      <c r="A4" s="2" t="s">
        <v>41</v>
      </c>
      <c r="B4" s="3">
        <v>40312.0</v>
      </c>
      <c r="C4" s="4">
        <v>46299.0</v>
      </c>
      <c r="D4" s="3" t="s">
        <v>72</v>
      </c>
      <c r="E4" s="2" t="s">
        <v>43</v>
      </c>
      <c r="F4" s="3">
        <v>82508.0</v>
      </c>
      <c r="G4" s="2" t="s">
        <v>73</v>
      </c>
      <c r="H4" s="2" t="s">
        <v>74</v>
      </c>
      <c r="I4" s="3">
        <v>8.708052404E9</v>
      </c>
      <c r="J4" s="5">
        <v>45837.54366898148</v>
      </c>
      <c r="K4" s="2" t="s">
        <v>46</v>
      </c>
      <c r="L4" s="2" t="s">
        <v>75</v>
      </c>
      <c r="M4" s="2" t="s">
        <v>76</v>
      </c>
      <c r="N4" s="2" t="s">
        <v>49</v>
      </c>
      <c r="O4" s="2" t="s">
        <v>77</v>
      </c>
      <c r="P4" s="3">
        <v>1986.0</v>
      </c>
      <c r="Q4" s="2" t="s">
        <v>78</v>
      </c>
      <c r="R4" s="2" t="s">
        <v>79</v>
      </c>
      <c r="S4" s="2" t="s">
        <v>80</v>
      </c>
      <c r="T4" s="2" t="s">
        <v>81</v>
      </c>
      <c r="U4" s="2" t="s">
        <v>55</v>
      </c>
      <c r="V4" s="2" t="s">
        <v>56</v>
      </c>
      <c r="W4" s="2" t="s">
        <v>57</v>
      </c>
      <c r="X4" s="3">
        <v>7.0</v>
      </c>
      <c r="Y4" s="2" t="s">
        <v>82</v>
      </c>
      <c r="Z4" s="3">
        <v>79.0</v>
      </c>
      <c r="AA4" s="3">
        <v>31.0</v>
      </c>
      <c r="AB4" s="3">
        <v>48.0</v>
      </c>
      <c r="AC4" s="3">
        <v>79.0</v>
      </c>
      <c r="AD4" s="3">
        <v>31.0</v>
      </c>
      <c r="AE4" s="3">
        <v>48.0</v>
      </c>
      <c r="AF4" s="3" t="s">
        <v>71</v>
      </c>
      <c r="AG4" s="3" t="s">
        <v>71</v>
      </c>
      <c r="AH4" s="3">
        <v>1.0</v>
      </c>
      <c r="AI4" s="3">
        <v>0.0</v>
      </c>
      <c r="AJ4" s="3">
        <v>1.0</v>
      </c>
      <c r="AK4" s="3">
        <v>0.0</v>
      </c>
      <c r="AL4" s="3">
        <v>0.0</v>
      </c>
      <c r="AM4" s="3">
        <v>1.0</v>
      </c>
      <c r="AN4" s="3">
        <v>10.0</v>
      </c>
      <c r="AO4" s="3">
        <v>22.22</v>
      </c>
    </row>
    <row r="5">
      <c r="A5" s="2" t="s">
        <v>41</v>
      </c>
      <c r="B5" s="3">
        <v>40439.0</v>
      </c>
      <c r="C5" s="3" t="s">
        <v>83</v>
      </c>
      <c r="D5" s="3" t="s">
        <v>72</v>
      </c>
      <c r="E5" s="2" t="s">
        <v>43</v>
      </c>
      <c r="F5" s="3">
        <v>70948.0</v>
      </c>
      <c r="G5" s="2" t="s">
        <v>84</v>
      </c>
      <c r="H5" s="2" t="s">
        <v>85</v>
      </c>
      <c r="I5" s="3">
        <v>7.204459347E9</v>
      </c>
      <c r="J5" s="5">
        <v>45294.52877314815</v>
      </c>
      <c r="K5" s="2" t="s">
        <v>46</v>
      </c>
      <c r="L5" s="2" t="s">
        <v>86</v>
      </c>
      <c r="M5" s="2" t="s">
        <v>87</v>
      </c>
      <c r="N5" s="2" t="s">
        <v>49</v>
      </c>
      <c r="O5" s="2" t="s">
        <v>88</v>
      </c>
      <c r="P5" s="3">
        <v>1061.0</v>
      </c>
      <c r="Q5" s="2" t="s">
        <v>89</v>
      </c>
      <c r="R5" s="2" t="s">
        <v>87</v>
      </c>
      <c r="S5" s="2" t="s">
        <v>90</v>
      </c>
      <c r="T5" s="2" t="s">
        <v>81</v>
      </c>
      <c r="U5" s="2" t="s">
        <v>55</v>
      </c>
      <c r="V5" s="2" t="s">
        <v>91</v>
      </c>
      <c r="W5" s="2" t="s">
        <v>57</v>
      </c>
      <c r="X5" s="3">
        <v>5.0</v>
      </c>
      <c r="Y5" s="2" t="s">
        <v>70</v>
      </c>
      <c r="Z5" s="3">
        <v>79.0</v>
      </c>
      <c r="AA5" s="3">
        <v>47.0</v>
      </c>
      <c r="AB5" s="3">
        <v>32.0</v>
      </c>
      <c r="AC5" s="3">
        <v>76.0</v>
      </c>
      <c r="AD5" s="3">
        <v>44.0</v>
      </c>
      <c r="AE5" s="3">
        <v>32.0</v>
      </c>
      <c r="AF5" s="3" t="s">
        <v>92</v>
      </c>
      <c r="AG5" s="3" t="s">
        <v>93</v>
      </c>
      <c r="AH5" s="3">
        <v>3.0</v>
      </c>
      <c r="AI5" s="3">
        <v>0.0</v>
      </c>
      <c r="AJ5" s="3">
        <v>3.0</v>
      </c>
      <c r="AK5" s="3">
        <v>0.0</v>
      </c>
      <c r="AL5" s="3">
        <v>0.0</v>
      </c>
      <c r="AM5" s="3">
        <v>3.0</v>
      </c>
      <c r="AN5" s="3">
        <v>54.0</v>
      </c>
      <c r="AO5" s="3">
        <v>100.0</v>
      </c>
    </row>
    <row r="6">
      <c r="A6" s="2" t="s">
        <v>41</v>
      </c>
      <c r="B6" s="3">
        <v>40055.0</v>
      </c>
      <c r="C6" s="3" t="s">
        <v>60</v>
      </c>
      <c r="D6" s="3" t="s">
        <v>42</v>
      </c>
      <c r="E6" s="2" t="s">
        <v>43</v>
      </c>
      <c r="F6" s="3">
        <v>80784.0</v>
      </c>
      <c r="G6" s="2" t="s">
        <v>94</v>
      </c>
      <c r="H6" s="2" t="s">
        <v>95</v>
      </c>
      <c r="I6" s="3">
        <v>8.336955774E9</v>
      </c>
      <c r="J6" s="5">
        <v>45751.51113425926</v>
      </c>
      <c r="K6" s="2" t="s">
        <v>46</v>
      </c>
      <c r="L6" s="2" t="s">
        <v>86</v>
      </c>
      <c r="M6" s="2" t="s">
        <v>87</v>
      </c>
      <c r="N6" s="2" t="s">
        <v>49</v>
      </c>
      <c r="O6" s="2" t="s">
        <v>50</v>
      </c>
      <c r="P6" s="3">
        <v>308.0</v>
      </c>
      <c r="Q6" s="2" t="s">
        <v>96</v>
      </c>
      <c r="R6" s="2" t="s">
        <v>65</v>
      </c>
      <c r="S6" s="2" t="s">
        <v>67</v>
      </c>
      <c r="T6" s="2" t="s">
        <v>68</v>
      </c>
      <c r="U6" s="2" t="s">
        <v>55</v>
      </c>
      <c r="V6" s="2" t="s">
        <v>69</v>
      </c>
      <c r="W6" s="2" t="s">
        <v>97</v>
      </c>
      <c r="X6" s="3">
        <v>8.0</v>
      </c>
      <c r="Y6" s="2" t="s">
        <v>98</v>
      </c>
      <c r="Z6" s="3">
        <v>105.0</v>
      </c>
      <c r="AA6" s="3">
        <v>54.0</v>
      </c>
      <c r="AB6" s="3">
        <v>51.0</v>
      </c>
      <c r="AC6" s="3">
        <v>104.0</v>
      </c>
      <c r="AD6" s="3">
        <v>54.0</v>
      </c>
      <c r="AE6" s="3">
        <v>50.0</v>
      </c>
      <c r="AF6" s="4">
        <v>46332.0</v>
      </c>
      <c r="AG6" s="3" t="s">
        <v>99</v>
      </c>
      <c r="AH6" s="3">
        <v>6.0</v>
      </c>
      <c r="AI6" s="3">
        <v>0.0</v>
      </c>
      <c r="AJ6" s="3">
        <v>3.0</v>
      </c>
      <c r="AK6" s="3">
        <v>3.0</v>
      </c>
      <c r="AL6" s="3">
        <v>0.0</v>
      </c>
      <c r="AM6" s="3">
        <v>6.0</v>
      </c>
      <c r="AN6" s="3">
        <v>152.0</v>
      </c>
      <c r="AO6" s="3">
        <v>76.77</v>
      </c>
    </row>
    <row r="7">
      <c r="A7" s="2" t="s">
        <v>41</v>
      </c>
      <c r="B7" s="3">
        <v>40132.0</v>
      </c>
      <c r="C7" s="4">
        <v>46144.0</v>
      </c>
      <c r="D7" s="3" t="s">
        <v>42</v>
      </c>
      <c r="E7" s="2" t="s">
        <v>43</v>
      </c>
      <c r="F7" s="3">
        <v>83311.0</v>
      </c>
      <c r="G7" s="2" t="s">
        <v>100</v>
      </c>
      <c r="H7" s="2" t="s">
        <v>101</v>
      </c>
      <c r="I7" s="3">
        <v>9.735779392E9</v>
      </c>
      <c r="J7" s="5">
        <v>45853.64709490741</v>
      </c>
      <c r="K7" s="2" t="s">
        <v>102</v>
      </c>
      <c r="L7" s="2" t="s">
        <v>103</v>
      </c>
      <c r="M7" s="2" t="s">
        <v>65</v>
      </c>
      <c r="N7" s="2" t="s">
        <v>49</v>
      </c>
      <c r="O7" s="2" t="s">
        <v>50</v>
      </c>
      <c r="P7" s="3">
        <v>316.0</v>
      </c>
      <c r="Q7" s="2" t="s">
        <v>104</v>
      </c>
      <c r="R7" s="2" t="s">
        <v>65</v>
      </c>
      <c r="S7" s="2" t="s">
        <v>67</v>
      </c>
      <c r="T7" s="2" t="s">
        <v>68</v>
      </c>
      <c r="U7" s="2" t="s">
        <v>55</v>
      </c>
      <c r="V7" s="2" t="s">
        <v>69</v>
      </c>
      <c r="W7" s="2" t="s">
        <v>57</v>
      </c>
      <c r="X7" s="3">
        <v>7.0</v>
      </c>
      <c r="Y7" s="2" t="s">
        <v>70</v>
      </c>
      <c r="Z7" s="3">
        <v>43.0</v>
      </c>
      <c r="AA7" s="3">
        <v>24.0</v>
      </c>
      <c r="AB7" s="3">
        <v>19.0</v>
      </c>
      <c r="AC7" s="3">
        <v>43.0</v>
      </c>
      <c r="AD7" s="3">
        <v>24.0</v>
      </c>
      <c r="AE7" s="3">
        <v>19.0</v>
      </c>
      <c r="AF7" s="4">
        <v>46362.0</v>
      </c>
      <c r="AG7" s="3" t="s">
        <v>105</v>
      </c>
      <c r="AH7" s="3">
        <v>5.0</v>
      </c>
      <c r="AI7" s="3">
        <v>0.0</v>
      </c>
      <c r="AJ7" s="3">
        <v>5.0</v>
      </c>
      <c r="AK7" s="3">
        <v>0.0</v>
      </c>
      <c r="AL7" s="3">
        <v>0.0</v>
      </c>
      <c r="AM7" s="3">
        <v>5.0</v>
      </c>
      <c r="AN7" s="3">
        <v>28.0</v>
      </c>
      <c r="AO7" s="3">
        <v>62.22</v>
      </c>
    </row>
    <row r="8">
      <c r="A8" s="2" t="s">
        <v>41</v>
      </c>
      <c r="B8" s="3">
        <v>40309.0</v>
      </c>
      <c r="C8" s="4">
        <v>46299.0</v>
      </c>
      <c r="D8" s="3" t="s">
        <v>72</v>
      </c>
      <c r="E8" s="2" t="s">
        <v>43</v>
      </c>
      <c r="F8" s="3">
        <v>89683.0</v>
      </c>
      <c r="G8" s="2" t="s">
        <v>106</v>
      </c>
      <c r="H8" s="2" t="s">
        <v>107</v>
      </c>
      <c r="I8" s="3">
        <v>9.764902409E9</v>
      </c>
      <c r="J8" s="5">
        <v>46132.73233796296</v>
      </c>
      <c r="K8" s="2" t="s">
        <v>46</v>
      </c>
      <c r="L8" s="2" t="s">
        <v>86</v>
      </c>
      <c r="M8" s="2" t="s">
        <v>87</v>
      </c>
      <c r="N8" s="2" t="s">
        <v>49</v>
      </c>
      <c r="O8" s="2" t="s">
        <v>108</v>
      </c>
      <c r="P8" s="3">
        <v>1986.0</v>
      </c>
      <c r="Q8" s="2" t="s">
        <v>78</v>
      </c>
      <c r="R8" s="2" t="s">
        <v>79</v>
      </c>
      <c r="S8" s="2" t="s">
        <v>80</v>
      </c>
      <c r="T8" s="2" t="s">
        <v>81</v>
      </c>
      <c r="U8" s="2" t="s">
        <v>55</v>
      </c>
      <c r="V8" s="2" t="s">
        <v>56</v>
      </c>
      <c r="W8" s="2" t="s">
        <v>57</v>
      </c>
      <c r="X8" s="3">
        <v>8.0</v>
      </c>
      <c r="Y8" s="2" t="s">
        <v>109</v>
      </c>
      <c r="Z8" s="3">
        <v>79.0</v>
      </c>
      <c r="AA8" s="3">
        <v>31.0</v>
      </c>
      <c r="AB8" s="3">
        <v>48.0</v>
      </c>
      <c r="AC8" s="3">
        <v>79.0</v>
      </c>
      <c r="AD8" s="3">
        <v>31.0</v>
      </c>
      <c r="AE8" s="3">
        <v>48.0</v>
      </c>
      <c r="AF8" s="3" t="s">
        <v>71</v>
      </c>
      <c r="AG8" s="3" t="s">
        <v>71</v>
      </c>
      <c r="AH8" s="3">
        <v>1.0</v>
      </c>
      <c r="AI8" s="3">
        <v>0.0</v>
      </c>
      <c r="AJ8" s="3">
        <v>1.0</v>
      </c>
      <c r="AK8" s="3">
        <v>0.0</v>
      </c>
      <c r="AL8" s="3">
        <v>0.0</v>
      </c>
      <c r="AM8" s="3">
        <v>1.0</v>
      </c>
      <c r="AN8" s="3">
        <v>9.0</v>
      </c>
      <c r="AO8" s="3">
        <v>26.47</v>
      </c>
    </row>
    <row r="9">
      <c r="A9" s="2" t="s">
        <v>41</v>
      </c>
      <c r="B9" s="3">
        <v>40451.0</v>
      </c>
      <c r="C9" s="5">
        <v>46193.5</v>
      </c>
      <c r="D9" s="5">
        <v>46477.5</v>
      </c>
      <c r="E9" s="2" t="s">
        <v>43</v>
      </c>
      <c r="F9" s="3">
        <v>81175.0</v>
      </c>
      <c r="G9" s="2" t="s">
        <v>110</v>
      </c>
      <c r="H9" s="2" t="s">
        <v>111</v>
      </c>
      <c r="I9" s="3">
        <v>9.538422288E9</v>
      </c>
      <c r="J9" s="5">
        <v>45778.97005787037</v>
      </c>
      <c r="K9" s="2" t="s">
        <v>112</v>
      </c>
      <c r="L9" s="2" t="s">
        <v>86</v>
      </c>
      <c r="M9" s="2" t="s">
        <v>87</v>
      </c>
      <c r="N9" s="2" t="s">
        <v>49</v>
      </c>
      <c r="O9" s="2" t="s">
        <v>50</v>
      </c>
      <c r="P9" s="3">
        <v>313.0</v>
      </c>
      <c r="Q9" s="2" t="s">
        <v>113</v>
      </c>
      <c r="R9" s="2" t="s">
        <v>87</v>
      </c>
      <c r="S9" s="2" t="s">
        <v>114</v>
      </c>
      <c r="T9" s="2" t="s">
        <v>68</v>
      </c>
      <c r="U9" s="2" t="s">
        <v>55</v>
      </c>
      <c r="V9" s="2" t="s">
        <v>91</v>
      </c>
      <c r="W9" s="2" t="s">
        <v>115</v>
      </c>
      <c r="X9" s="3">
        <v>7.0</v>
      </c>
      <c r="Y9" s="2" t="s">
        <v>98</v>
      </c>
      <c r="Z9" s="3">
        <v>28.0</v>
      </c>
      <c r="AA9" s="3">
        <v>7.0</v>
      </c>
      <c r="AB9" s="3">
        <v>21.0</v>
      </c>
      <c r="AC9" s="3">
        <v>18.0</v>
      </c>
      <c r="AD9" s="3">
        <v>4.0</v>
      </c>
      <c r="AE9" s="3">
        <v>14.0</v>
      </c>
      <c r="AF9" s="3" t="s">
        <v>59</v>
      </c>
      <c r="AG9" s="3" t="s">
        <v>59</v>
      </c>
      <c r="AH9" s="3">
        <v>1.0</v>
      </c>
      <c r="AI9" s="3">
        <v>0.0</v>
      </c>
      <c r="AJ9" s="3">
        <v>1.0</v>
      </c>
      <c r="AK9" s="3">
        <v>0.0</v>
      </c>
      <c r="AL9" s="3">
        <v>0.0</v>
      </c>
      <c r="AM9" s="3">
        <v>1.0</v>
      </c>
      <c r="AN9" s="3">
        <v>10.0</v>
      </c>
      <c r="AO9" s="3">
        <v>76.92</v>
      </c>
    </row>
    <row r="10">
      <c r="A10" s="2" t="s">
        <v>41</v>
      </c>
      <c r="B10" s="3">
        <v>40060.0</v>
      </c>
      <c r="C10" s="3" t="s">
        <v>60</v>
      </c>
      <c r="D10" s="3" t="s">
        <v>42</v>
      </c>
      <c r="E10" s="2" t="s">
        <v>43</v>
      </c>
      <c r="F10" s="3">
        <v>29439.0</v>
      </c>
      <c r="G10" s="2" t="s">
        <v>116</v>
      </c>
      <c r="H10" s="2" t="s">
        <v>117</v>
      </c>
      <c r="I10" s="3">
        <v>9.440591925E9</v>
      </c>
      <c r="J10" s="5">
        <v>43678.09699074074</v>
      </c>
      <c r="K10" s="2" t="s">
        <v>46</v>
      </c>
      <c r="L10" s="2" t="s">
        <v>118</v>
      </c>
      <c r="M10" s="2" t="s">
        <v>119</v>
      </c>
      <c r="N10" s="2" t="s">
        <v>49</v>
      </c>
      <c r="O10" s="2" t="s">
        <v>120</v>
      </c>
      <c r="P10" s="3">
        <v>253.0</v>
      </c>
      <c r="Q10" s="2" t="s">
        <v>121</v>
      </c>
      <c r="R10" s="2" t="s">
        <v>65</v>
      </c>
      <c r="S10" s="2" t="s">
        <v>122</v>
      </c>
      <c r="T10" s="2" t="s">
        <v>81</v>
      </c>
      <c r="U10" s="2" t="s">
        <v>55</v>
      </c>
      <c r="V10" s="2" t="s">
        <v>69</v>
      </c>
      <c r="W10" s="2" t="s">
        <v>57</v>
      </c>
      <c r="X10" s="3">
        <v>6.0</v>
      </c>
      <c r="Y10" s="2" t="s">
        <v>70</v>
      </c>
      <c r="Z10" s="3">
        <v>64.0</v>
      </c>
      <c r="AA10" s="3">
        <v>31.0</v>
      </c>
      <c r="AB10" s="3">
        <v>33.0</v>
      </c>
      <c r="AC10" s="3">
        <v>62.0</v>
      </c>
      <c r="AD10" s="3">
        <v>31.0</v>
      </c>
      <c r="AE10" s="3">
        <v>31.0</v>
      </c>
      <c r="AF10" s="4">
        <v>46271.0</v>
      </c>
      <c r="AG10" s="3" t="s">
        <v>71</v>
      </c>
      <c r="AH10" s="3">
        <v>7.0</v>
      </c>
      <c r="AI10" s="3">
        <v>0.0</v>
      </c>
      <c r="AJ10" s="3">
        <v>2.0</v>
      </c>
      <c r="AK10" s="3">
        <v>5.0</v>
      </c>
      <c r="AL10" s="3">
        <v>0.0</v>
      </c>
      <c r="AM10" s="3">
        <v>7.0</v>
      </c>
      <c r="AN10" s="3">
        <v>103.0</v>
      </c>
      <c r="AO10" s="3">
        <v>66.88</v>
      </c>
    </row>
    <row r="11">
      <c r="A11" s="2" t="s">
        <v>41</v>
      </c>
      <c r="B11" s="3">
        <v>40460.0</v>
      </c>
      <c r="C11" s="5">
        <v>46193.5</v>
      </c>
      <c r="D11" s="5">
        <v>46477.5</v>
      </c>
      <c r="E11" s="2" t="s">
        <v>43</v>
      </c>
      <c r="F11" s="3">
        <v>90926.0</v>
      </c>
      <c r="G11" s="2" t="s">
        <v>123</v>
      </c>
      <c r="H11" s="2" t="s">
        <v>124</v>
      </c>
      <c r="I11" s="3">
        <v>7.202737965E9</v>
      </c>
      <c r="J11" s="5">
        <v>46192.16315972222</v>
      </c>
      <c r="K11" s="2" t="s">
        <v>46</v>
      </c>
      <c r="L11" s="2" t="s">
        <v>125</v>
      </c>
      <c r="M11" s="2" t="s">
        <v>126</v>
      </c>
      <c r="N11" s="2" t="s">
        <v>127</v>
      </c>
      <c r="O11" s="2" t="s">
        <v>128</v>
      </c>
      <c r="P11" s="3">
        <v>2027.0</v>
      </c>
      <c r="Q11" s="2" t="s">
        <v>129</v>
      </c>
      <c r="R11" s="2" t="s">
        <v>87</v>
      </c>
      <c r="S11" s="2" t="s">
        <v>130</v>
      </c>
      <c r="T11" s="2" t="s">
        <v>131</v>
      </c>
      <c r="U11" s="2" t="s">
        <v>55</v>
      </c>
      <c r="V11" s="2" t="s">
        <v>91</v>
      </c>
      <c r="W11" s="2" t="s">
        <v>115</v>
      </c>
      <c r="X11" s="3">
        <v>7.0</v>
      </c>
      <c r="Y11" s="2" t="s">
        <v>58</v>
      </c>
      <c r="Z11" s="3">
        <v>18.0</v>
      </c>
      <c r="AA11" s="3">
        <v>9.0</v>
      </c>
      <c r="AB11" s="3">
        <v>9.0</v>
      </c>
      <c r="AC11" s="3">
        <v>18.0</v>
      </c>
      <c r="AD11" s="3">
        <v>9.0</v>
      </c>
      <c r="AE11" s="3">
        <v>9.0</v>
      </c>
      <c r="AF11" s="3" t="s">
        <v>71</v>
      </c>
      <c r="AG11" s="3" t="s">
        <v>71</v>
      </c>
      <c r="AH11" s="3">
        <v>1.0</v>
      </c>
      <c r="AI11" s="3">
        <v>0.0</v>
      </c>
      <c r="AJ11" s="3">
        <v>1.0</v>
      </c>
      <c r="AK11" s="3">
        <v>0.0</v>
      </c>
      <c r="AL11" s="3">
        <v>0.0</v>
      </c>
      <c r="AM11" s="3">
        <v>1.0</v>
      </c>
      <c r="AN11" s="3">
        <v>4.0</v>
      </c>
      <c r="AO11" s="3">
        <v>100.0</v>
      </c>
    </row>
    <row r="12">
      <c r="A12" s="2" t="s">
        <v>41</v>
      </c>
      <c r="B12" s="3">
        <v>40057.0</v>
      </c>
      <c r="C12" s="3" t="s">
        <v>60</v>
      </c>
      <c r="D12" s="3" t="s">
        <v>42</v>
      </c>
      <c r="E12" s="2" t="s">
        <v>43</v>
      </c>
      <c r="F12" s="3">
        <v>20057.0</v>
      </c>
      <c r="G12" s="2" t="s">
        <v>132</v>
      </c>
      <c r="H12" s="2" t="s">
        <v>133</v>
      </c>
      <c r="I12" s="3">
        <v>7.598834528E9</v>
      </c>
      <c r="J12" s="5">
        <v>43063.54649305555</v>
      </c>
      <c r="K12" s="2" t="s">
        <v>134</v>
      </c>
      <c r="L12" s="2" t="s">
        <v>135</v>
      </c>
      <c r="M12" s="2" t="s">
        <v>65</v>
      </c>
      <c r="N12" s="2" t="s">
        <v>49</v>
      </c>
      <c r="O12" s="2" t="s">
        <v>136</v>
      </c>
      <c r="P12" s="3">
        <v>308.0</v>
      </c>
      <c r="Q12" s="2" t="s">
        <v>96</v>
      </c>
      <c r="R12" s="2" t="s">
        <v>65</v>
      </c>
      <c r="S12" s="2" t="s">
        <v>67</v>
      </c>
      <c r="T12" s="2" t="s">
        <v>68</v>
      </c>
      <c r="U12" s="2" t="s">
        <v>55</v>
      </c>
      <c r="V12" s="2" t="s">
        <v>69</v>
      </c>
      <c r="W12" s="2" t="s">
        <v>97</v>
      </c>
      <c r="X12" s="3">
        <v>7.0</v>
      </c>
      <c r="Y12" s="2" t="s">
        <v>98</v>
      </c>
      <c r="Z12" s="3">
        <v>105.0</v>
      </c>
      <c r="AA12" s="3">
        <v>54.0</v>
      </c>
      <c r="AB12" s="3">
        <v>51.0</v>
      </c>
      <c r="AC12" s="3">
        <v>104.0</v>
      </c>
      <c r="AD12" s="3">
        <v>54.0</v>
      </c>
      <c r="AE12" s="3">
        <v>50.0</v>
      </c>
      <c r="AF12" s="4">
        <v>46301.0</v>
      </c>
      <c r="AG12" s="3" t="s">
        <v>59</v>
      </c>
      <c r="AH12" s="3">
        <v>5.0</v>
      </c>
      <c r="AI12" s="3">
        <v>0.0</v>
      </c>
      <c r="AJ12" s="3">
        <v>5.0</v>
      </c>
      <c r="AK12" s="3">
        <v>0.0</v>
      </c>
      <c r="AL12" s="3">
        <v>0.0</v>
      </c>
      <c r="AM12" s="3">
        <v>5.0</v>
      </c>
      <c r="AN12" s="3">
        <v>69.0</v>
      </c>
      <c r="AO12" s="3">
        <v>62.73</v>
      </c>
    </row>
    <row r="13">
      <c r="A13" s="2" t="s">
        <v>41</v>
      </c>
      <c r="B13" s="3">
        <v>40218.0</v>
      </c>
      <c r="C13" s="4">
        <v>46026.0</v>
      </c>
      <c r="D13" s="3" t="s">
        <v>42</v>
      </c>
      <c r="E13" s="2" t="s">
        <v>43</v>
      </c>
      <c r="F13" s="3">
        <v>76728.0</v>
      </c>
      <c r="G13" s="2" t="s">
        <v>137</v>
      </c>
      <c r="H13" s="2" t="s">
        <v>138</v>
      </c>
      <c r="I13" s="3">
        <v>9.890586286E9</v>
      </c>
      <c r="J13" s="5">
        <v>45553.96175925926</v>
      </c>
      <c r="K13" s="2" t="s">
        <v>46</v>
      </c>
      <c r="L13" s="2" t="s">
        <v>139</v>
      </c>
      <c r="M13" s="2" t="s">
        <v>48</v>
      </c>
      <c r="N13" s="2" t="s">
        <v>49</v>
      </c>
      <c r="O13" s="2" t="s">
        <v>128</v>
      </c>
      <c r="P13" s="3">
        <v>1984.0</v>
      </c>
      <c r="Q13" s="2" t="s">
        <v>51</v>
      </c>
      <c r="R13" s="2" t="s">
        <v>52</v>
      </c>
      <c r="S13" s="2" t="s">
        <v>53</v>
      </c>
      <c r="T13" s="2" t="s">
        <v>54</v>
      </c>
      <c r="U13" s="2" t="s">
        <v>55</v>
      </c>
      <c r="V13" s="2" t="s">
        <v>56</v>
      </c>
      <c r="W13" s="2" t="s">
        <v>57</v>
      </c>
      <c r="X13" s="3">
        <v>7.0</v>
      </c>
      <c r="Y13" s="2" t="s">
        <v>70</v>
      </c>
      <c r="Z13" s="3">
        <v>41.0</v>
      </c>
      <c r="AA13" s="3">
        <v>23.0</v>
      </c>
      <c r="AB13" s="3">
        <v>18.0</v>
      </c>
      <c r="AC13" s="3">
        <v>41.0</v>
      </c>
      <c r="AD13" s="3">
        <v>23.0</v>
      </c>
      <c r="AE13" s="3">
        <v>18.0</v>
      </c>
      <c r="AF13" s="4">
        <v>46059.0</v>
      </c>
      <c r="AG13" s="3" t="s">
        <v>71</v>
      </c>
      <c r="AH13" s="3">
        <v>7.0</v>
      </c>
      <c r="AI13" s="3">
        <v>0.0</v>
      </c>
      <c r="AJ13" s="3">
        <v>4.0</v>
      </c>
      <c r="AK13" s="3">
        <v>0.0</v>
      </c>
      <c r="AL13" s="3">
        <v>3.0</v>
      </c>
      <c r="AM13" s="3">
        <v>4.0</v>
      </c>
      <c r="AN13" s="3">
        <v>45.0</v>
      </c>
      <c r="AO13" s="3">
        <v>86.54</v>
      </c>
    </row>
    <row r="14">
      <c r="A14" s="2" t="s">
        <v>41</v>
      </c>
      <c r="B14" s="3">
        <v>40458.0</v>
      </c>
      <c r="C14" s="5">
        <v>46193.5</v>
      </c>
      <c r="D14" s="5">
        <v>46477.5</v>
      </c>
      <c r="E14" s="2" t="s">
        <v>43</v>
      </c>
      <c r="F14" s="3">
        <v>89831.0</v>
      </c>
      <c r="G14" s="2" t="s">
        <v>140</v>
      </c>
      <c r="H14" s="2" t="s">
        <v>141</v>
      </c>
      <c r="I14" s="2">
        <v>8.095093311E9</v>
      </c>
      <c r="J14" s="5">
        <v>46135.422430555554</v>
      </c>
      <c r="K14" s="2" t="s">
        <v>112</v>
      </c>
      <c r="L14" s="2" t="s">
        <v>86</v>
      </c>
      <c r="M14" s="2" t="s">
        <v>87</v>
      </c>
      <c r="N14" s="2" t="s">
        <v>49</v>
      </c>
      <c r="O14" s="2" t="s">
        <v>50</v>
      </c>
      <c r="P14" s="3">
        <v>2027.0</v>
      </c>
      <c r="Q14" s="2" t="s">
        <v>129</v>
      </c>
      <c r="R14" s="2" t="s">
        <v>87</v>
      </c>
      <c r="S14" s="2" t="s">
        <v>130</v>
      </c>
      <c r="T14" s="2" t="s">
        <v>131</v>
      </c>
      <c r="U14" s="2" t="s">
        <v>55</v>
      </c>
      <c r="V14" s="2" t="s">
        <v>91</v>
      </c>
      <c r="W14" s="2" t="s">
        <v>57</v>
      </c>
      <c r="X14" s="3">
        <v>7.0</v>
      </c>
      <c r="Y14" s="2" t="s">
        <v>70</v>
      </c>
      <c r="Z14" s="3">
        <v>18.0</v>
      </c>
      <c r="AA14" s="3">
        <v>9.0</v>
      </c>
      <c r="AB14" s="3">
        <v>9.0</v>
      </c>
      <c r="AC14" s="3">
        <v>18.0</v>
      </c>
      <c r="AD14" s="3">
        <v>9.0</v>
      </c>
      <c r="AE14" s="3">
        <v>9.0</v>
      </c>
      <c r="AF14" s="3" t="s">
        <v>142</v>
      </c>
      <c r="AG14" s="3" t="s">
        <v>105</v>
      </c>
      <c r="AH14" s="3">
        <v>2.0</v>
      </c>
      <c r="AI14" s="3">
        <v>0.0</v>
      </c>
      <c r="AJ14" s="3">
        <v>2.0</v>
      </c>
      <c r="AK14" s="3">
        <v>0.0</v>
      </c>
      <c r="AL14" s="3">
        <v>0.0</v>
      </c>
      <c r="AM14" s="3">
        <v>2.0</v>
      </c>
      <c r="AN14" s="3">
        <v>8.0</v>
      </c>
      <c r="AO14" s="3">
        <v>100.0</v>
      </c>
    </row>
    <row r="15">
      <c r="A15" s="2" t="s">
        <v>41</v>
      </c>
      <c r="B15" s="3">
        <v>40455.0</v>
      </c>
      <c r="C15" s="5">
        <v>46193.5</v>
      </c>
      <c r="D15" s="5">
        <v>46477.5</v>
      </c>
      <c r="E15" s="2" t="s">
        <v>43</v>
      </c>
      <c r="F15" s="3">
        <v>82829.0</v>
      </c>
      <c r="G15" s="2" t="s">
        <v>143</v>
      </c>
      <c r="H15" s="2" t="s">
        <v>144</v>
      </c>
      <c r="I15" s="3">
        <v>7.026841521E9</v>
      </c>
      <c r="J15" s="5">
        <v>45844.938784722224</v>
      </c>
      <c r="K15" s="2" t="s">
        <v>46</v>
      </c>
      <c r="L15" s="2" t="s">
        <v>145</v>
      </c>
      <c r="M15" s="2" t="s">
        <v>87</v>
      </c>
      <c r="N15" s="2" t="s">
        <v>49</v>
      </c>
      <c r="O15" s="2" t="s">
        <v>108</v>
      </c>
      <c r="P15" s="3">
        <v>313.0</v>
      </c>
      <c r="Q15" s="2" t="s">
        <v>113</v>
      </c>
      <c r="R15" s="2" t="s">
        <v>87</v>
      </c>
      <c r="S15" s="2" t="s">
        <v>114</v>
      </c>
      <c r="T15" s="2" t="s">
        <v>68</v>
      </c>
      <c r="U15" s="2" t="s">
        <v>55</v>
      </c>
      <c r="V15" s="2" t="s">
        <v>91</v>
      </c>
      <c r="W15" s="2" t="s">
        <v>115</v>
      </c>
      <c r="X15" s="3">
        <v>6.0</v>
      </c>
      <c r="Y15" s="2" t="s">
        <v>58</v>
      </c>
      <c r="Z15" s="3">
        <v>28.0</v>
      </c>
      <c r="AA15" s="3">
        <v>7.0</v>
      </c>
      <c r="AB15" s="3">
        <v>21.0</v>
      </c>
      <c r="AC15" s="3">
        <v>18.0</v>
      </c>
      <c r="AD15" s="3">
        <v>4.0</v>
      </c>
      <c r="AE15" s="3">
        <v>14.0</v>
      </c>
      <c r="AF15" s="3" t="s">
        <v>105</v>
      </c>
      <c r="AG15" s="3" t="s">
        <v>71</v>
      </c>
      <c r="AH15" s="3">
        <v>2.0</v>
      </c>
      <c r="AI15" s="3">
        <v>0.0</v>
      </c>
      <c r="AJ15" s="3">
        <v>2.0</v>
      </c>
      <c r="AK15" s="3">
        <v>0.0</v>
      </c>
      <c r="AL15" s="3">
        <v>0.0</v>
      </c>
      <c r="AM15" s="3">
        <v>2.0</v>
      </c>
      <c r="AN15" s="3">
        <v>8.0</v>
      </c>
      <c r="AO15" s="3">
        <v>72.73</v>
      </c>
    </row>
    <row r="16">
      <c r="A16" s="2" t="s">
        <v>41</v>
      </c>
      <c r="B16" s="3">
        <v>40545.0</v>
      </c>
      <c r="C16" s="5">
        <v>46200.5</v>
      </c>
      <c r="D16" s="5">
        <v>46477.5</v>
      </c>
      <c r="E16" s="2" t="s">
        <v>43</v>
      </c>
      <c r="F16" s="3">
        <v>77361.0</v>
      </c>
      <c r="G16" s="2" t="s">
        <v>146</v>
      </c>
      <c r="H16" s="2" t="s">
        <v>147</v>
      </c>
      <c r="I16" s="3">
        <v>9.448315983E9</v>
      </c>
      <c r="J16" s="5">
        <v>45580.863958333335</v>
      </c>
      <c r="K16" s="2" t="s">
        <v>46</v>
      </c>
      <c r="L16" s="2" t="s">
        <v>86</v>
      </c>
      <c r="M16" s="2" t="s">
        <v>87</v>
      </c>
      <c r="N16" s="2" t="s">
        <v>49</v>
      </c>
      <c r="O16" s="2" t="s">
        <v>88</v>
      </c>
      <c r="P16" s="3">
        <v>1976.0</v>
      </c>
      <c r="Q16" s="2" t="s">
        <v>148</v>
      </c>
      <c r="R16" s="2" t="s">
        <v>87</v>
      </c>
      <c r="S16" s="2" t="s">
        <v>149</v>
      </c>
      <c r="T16" s="2" t="s">
        <v>150</v>
      </c>
      <c r="U16" s="2" t="s">
        <v>55</v>
      </c>
      <c r="V16" s="2" t="s">
        <v>91</v>
      </c>
      <c r="W16" s="2" t="s">
        <v>115</v>
      </c>
      <c r="X16" s="3">
        <v>7.0</v>
      </c>
      <c r="Y16" s="2" t="s">
        <v>58</v>
      </c>
      <c r="Z16" s="3">
        <v>114.0</v>
      </c>
      <c r="AA16" s="3">
        <v>51.0</v>
      </c>
      <c r="AB16" s="3">
        <v>63.0</v>
      </c>
      <c r="AC16" s="3">
        <v>114.0</v>
      </c>
      <c r="AD16" s="3">
        <v>51.0</v>
      </c>
      <c r="AE16" s="3">
        <v>63.0</v>
      </c>
      <c r="AF16" s="3" t="s">
        <v>105</v>
      </c>
      <c r="AG16" s="3" t="s">
        <v>71</v>
      </c>
      <c r="AH16" s="3">
        <v>2.0</v>
      </c>
      <c r="AI16" s="3">
        <v>0.0</v>
      </c>
      <c r="AJ16" s="3">
        <v>2.0</v>
      </c>
      <c r="AK16" s="3">
        <v>0.0</v>
      </c>
      <c r="AL16" s="3">
        <v>0.0</v>
      </c>
      <c r="AM16" s="3">
        <v>2.0</v>
      </c>
      <c r="AN16" s="3">
        <v>78.0</v>
      </c>
      <c r="AO16" s="3">
        <v>100.0</v>
      </c>
    </row>
    <row r="17">
      <c r="A17" s="2" t="s">
        <v>41</v>
      </c>
      <c r="B17" s="3">
        <v>40091.0</v>
      </c>
      <c r="C17" s="3" t="s">
        <v>151</v>
      </c>
      <c r="D17" s="3" t="s">
        <v>42</v>
      </c>
      <c r="E17" s="2" t="s">
        <v>43</v>
      </c>
      <c r="F17" s="3">
        <v>81248.0</v>
      </c>
      <c r="G17" s="2" t="s">
        <v>152</v>
      </c>
      <c r="H17" s="2" t="s">
        <v>153</v>
      </c>
      <c r="I17" s="3">
        <v>6.000406694E9</v>
      </c>
      <c r="J17" s="5">
        <v>45783.57017361111</v>
      </c>
      <c r="K17" s="2" t="s">
        <v>46</v>
      </c>
      <c r="L17" s="2" t="s">
        <v>154</v>
      </c>
      <c r="M17" s="2" t="s">
        <v>87</v>
      </c>
      <c r="N17" s="2" t="s">
        <v>49</v>
      </c>
      <c r="O17" s="2" t="s">
        <v>108</v>
      </c>
      <c r="P17" s="3">
        <v>1756.0</v>
      </c>
      <c r="Q17" s="2" t="s">
        <v>155</v>
      </c>
      <c r="R17" s="2" t="s">
        <v>65</v>
      </c>
      <c r="S17" s="2" t="s">
        <v>122</v>
      </c>
      <c r="T17" s="2" t="s">
        <v>68</v>
      </c>
      <c r="U17" s="2" t="s">
        <v>55</v>
      </c>
      <c r="V17" s="2" t="s">
        <v>69</v>
      </c>
      <c r="W17" s="2" t="s">
        <v>97</v>
      </c>
      <c r="X17" s="3">
        <v>6.0</v>
      </c>
      <c r="Y17" s="2" t="s">
        <v>58</v>
      </c>
      <c r="Z17" s="3">
        <v>23.0</v>
      </c>
      <c r="AA17" s="3">
        <v>15.0</v>
      </c>
      <c r="AB17" s="3">
        <v>8.0</v>
      </c>
      <c r="AC17" s="3">
        <v>14.0</v>
      </c>
      <c r="AD17" s="3">
        <v>6.0</v>
      </c>
      <c r="AE17" s="3">
        <v>8.0</v>
      </c>
      <c r="AF17" s="4">
        <v>46301.0</v>
      </c>
      <c r="AG17" s="3" t="s">
        <v>99</v>
      </c>
      <c r="AH17" s="3">
        <v>6.0</v>
      </c>
      <c r="AI17" s="3">
        <v>0.0</v>
      </c>
      <c r="AJ17" s="3">
        <v>0.0</v>
      </c>
      <c r="AK17" s="3">
        <v>6.0</v>
      </c>
      <c r="AL17" s="3">
        <v>0.0</v>
      </c>
      <c r="AM17" s="3">
        <v>6.0</v>
      </c>
      <c r="AN17" s="3">
        <v>21.0</v>
      </c>
      <c r="AO17" s="3">
        <v>43.75</v>
      </c>
    </row>
    <row r="18">
      <c r="A18" s="2" t="s">
        <v>41</v>
      </c>
      <c r="B18" s="3">
        <v>40065.0</v>
      </c>
      <c r="C18" s="3" t="s">
        <v>60</v>
      </c>
      <c r="D18" s="3" t="s">
        <v>42</v>
      </c>
      <c r="E18" s="2" t="s">
        <v>43</v>
      </c>
      <c r="F18" s="3">
        <v>58139.0</v>
      </c>
      <c r="G18" s="2" t="s">
        <v>156</v>
      </c>
      <c r="H18" s="2" t="s">
        <v>157</v>
      </c>
      <c r="I18" s="3">
        <v>8.097730036E9</v>
      </c>
      <c r="J18" s="5">
        <v>44735.071018518516</v>
      </c>
      <c r="K18" s="2" t="s">
        <v>158</v>
      </c>
      <c r="L18" s="2" t="s">
        <v>47</v>
      </c>
      <c r="M18" s="2" t="s">
        <v>48</v>
      </c>
      <c r="N18" s="2" t="s">
        <v>49</v>
      </c>
      <c r="O18" s="2" t="s">
        <v>88</v>
      </c>
      <c r="P18" s="3">
        <v>316.0</v>
      </c>
      <c r="Q18" s="2" t="s">
        <v>104</v>
      </c>
      <c r="R18" s="2" t="s">
        <v>65</v>
      </c>
      <c r="S18" s="2" t="s">
        <v>67</v>
      </c>
      <c r="T18" s="2" t="s">
        <v>68</v>
      </c>
      <c r="U18" s="2" t="s">
        <v>55</v>
      </c>
      <c r="V18" s="2" t="s">
        <v>69</v>
      </c>
      <c r="W18" s="2" t="s">
        <v>97</v>
      </c>
      <c r="X18" s="3">
        <v>8.0</v>
      </c>
      <c r="Y18" s="2" t="s">
        <v>58</v>
      </c>
      <c r="Z18" s="3">
        <v>43.0</v>
      </c>
      <c r="AA18" s="3">
        <v>24.0</v>
      </c>
      <c r="AB18" s="3">
        <v>19.0</v>
      </c>
      <c r="AC18" s="3">
        <v>43.0</v>
      </c>
      <c r="AD18" s="3">
        <v>24.0</v>
      </c>
      <c r="AE18" s="3">
        <v>19.0</v>
      </c>
      <c r="AF18" s="4">
        <v>46271.0</v>
      </c>
      <c r="AG18" s="4">
        <v>46332.0</v>
      </c>
      <c r="AH18" s="3">
        <v>2.0</v>
      </c>
      <c r="AI18" s="3">
        <v>0.0</v>
      </c>
      <c r="AJ18" s="3">
        <v>0.0</v>
      </c>
      <c r="AK18" s="3">
        <v>0.0</v>
      </c>
      <c r="AL18" s="3">
        <v>2.0</v>
      </c>
      <c r="AM18" s="3">
        <v>0.0</v>
      </c>
      <c r="AN18" s="3">
        <v>0.0</v>
      </c>
      <c r="AO18" s="6"/>
    </row>
    <row r="19">
      <c r="A19" s="2" t="s">
        <v>41</v>
      </c>
      <c r="B19" s="3">
        <v>40063.0</v>
      </c>
      <c r="C19" s="3" t="s">
        <v>60</v>
      </c>
      <c r="D19" s="3" t="s">
        <v>42</v>
      </c>
      <c r="E19" s="2" t="s">
        <v>43</v>
      </c>
      <c r="F19" s="3">
        <v>80149.0</v>
      </c>
      <c r="G19" s="2" t="s">
        <v>159</v>
      </c>
      <c r="H19" s="2" t="s">
        <v>160</v>
      </c>
      <c r="I19" s="3">
        <v>9.830365749E9</v>
      </c>
      <c r="J19" s="5">
        <v>45704.65225694444</v>
      </c>
      <c r="K19" s="2" t="s">
        <v>46</v>
      </c>
      <c r="L19" s="2" t="s">
        <v>103</v>
      </c>
      <c r="M19" s="2" t="s">
        <v>65</v>
      </c>
      <c r="N19" s="2" t="s">
        <v>49</v>
      </c>
      <c r="O19" s="2" t="s">
        <v>161</v>
      </c>
      <c r="P19" s="3">
        <v>316.0</v>
      </c>
      <c r="Q19" s="2" t="s">
        <v>104</v>
      </c>
      <c r="R19" s="2" t="s">
        <v>65</v>
      </c>
      <c r="S19" s="2" t="s">
        <v>67</v>
      </c>
      <c r="T19" s="2" t="s">
        <v>68</v>
      </c>
      <c r="U19" s="2" t="s">
        <v>55</v>
      </c>
      <c r="V19" s="2" t="s">
        <v>69</v>
      </c>
      <c r="W19" s="2" t="s">
        <v>97</v>
      </c>
      <c r="X19" s="3">
        <v>6.0</v>
      </c>
      <c r="Y19" s="2" t="s">
        <v>58</v>
      </c>
      <c r="Z19" s="3">
        <v>43.0</v>
      </c>
      <c r="AA19" s="3">
        <v>24.0</v>
      </c>
      <c r="AB19" s="3">
        <v>19.0</v>
      </c>
      <c r="AC19" s="3">
        <v>43.0</v>
      </c>
      <c r="AD19" s="3">
        <v>24.0</v>
      </c>
      <c r="AE19" s="3">
        <v>19.0</v>
      </c>
      <c r="AF19" s="4">
        <v>46362.0</v>
      </c>
      <c r="AG19" s="3" t="s">
        <v>99</v>
      </c>
      <c r="AH19" s="3">
        <v>5.0</v>
      </c>
      <c r="AI19" s="3">
        <v>0.0</v>
      </c>
      <c r="AJ19" s="3">
        <v>5.0</v>
      </c>
      <c r="AK19" s="3">
        <v>0.0</v>
      </c>
      <c r="AL19" s="3">
        <v>0.0</v>
      </c>
      <c r="AM19" s="3">
        <v>5.0</v>
      </c>
      <c r="AN19" s="3">
        <v>31.0</v>
      </c>
      <c r="AO19" s="3">
        <v>77.5</v>
      </c>
    </row>
    <row r="20">
      <c r="A20" s="2" t="s">
        <v>41</v>
      </c>
      <c r="B20" s="3">
        <v>40038.0</v>
      </c>
      <c r="C20" s="3" t="s">
        <v>60</v>
      </c>
      <c r="D20" s="3" t="s">
        <v>42</v>
      </c>
      <c r="E20" s="2" t="s">
        <v>43</v>
      </c>
      <c r="F20" s="3">
        <v>77058.0</v>
      </c>
      <c r="G20" s="2" t="s">
        <v>162</v>
      </c>
      <c r="H20" s="2" t="s">
        <v>163</v>
      </c>
      <c r="I20" s="3">
        <v>8.01713466E9</v>
      </c>
      <c r="J20" s="5">
        <v>45564.90466435185</v>
      </c>
      <c r="K20" s="2" t="s">
        <v>46</v>
      </c>
      <c r="L20" s="2" t="s">
        <v>103</v>
      </c>
      <c r="M20" s="2" t="s">
        <v>65</v>
      </c>
      <c r="N20" s="2" t="s">
        <v>49</v>
      </c>
      <c r="O20" s="2" t="s">
        <v>50</v>
      </c>
      <c r="P20" s="3">
        <v>95.0</v>
      </c>
      <c r="Q20" s="2" t="s">
        <v>66</v>
      </c>
      <c r="R20" s="2" t="s">
        <v>65</v>
      </c>
      <c r="S20" s="2" t="s">
        <v>67</v>
      </c>
      <c r="T20" s="2" t="s">
        <v>68</v>
      </c>
      <c r="U20" s="2" t="s">
        <v>55</v>
      </c>
      <c r="V20" s="2" t="s">
        <v>69</v>
      </c>
      <c r="W20" s="2" t="s">
        <v>57</v>
      </c>
      <c r="X20" s="3">
        <v>8.0</v>
      </c>
      <c r="Y20" s="2" t="s">
        <v>70</v>
      </c>
      <c r="Z20" s="3">
        <v>132.0</v>
      </c>
      <c r="AA20" s="3">
        <v>79.0</v>
      </c>
      <c r="AB20" s="3">
        <v>53.0</v>
      </c>
      <c r="AC20" s="3">
        <v>116.0</v>
      </c>
      <c r="AD20" s="3">
        <v>66.0</v>
      </c>
      <c r="AE20" s="3">
        <v>50.0</v>
      </c>
      <c r="AF20" s="4">
        <v>46301.0</v>
      </c>
      <c r="AG20" s="3" t="s">
        <v>99</v>
      </c>
      <c r="AH20" s="3">
        <v>6.0</v>
      </c>
      <c r="AI20" s="3">
        <v>0.0</v>
      </c>
      <c r="AJ20" s="3">
        <v>6.0</v>
      </c>
      <c r="AK20" s="3">
        <v>0.0</v>
      </c>
      <c r="AL20" s="3">
        <v>0.0</v>
      </c>
      <c r="AM20" s="3">
        <v>6.0</v>
      </c>
      <c r="AN20" s="3">
        <v>165.0</v>
      </c>
      <c r="AO20" s="3">
        <v>67.07</v>
      </c>
    </row>
    <row r="21">
      <c r="A21" s="2" t="s">
        <v>41</v>
      </c>
      <c r="B21" s="3">
        <v>40215.0</v>
      </c>
      <c r="C21" s="4">
        <v>46026.0</v>
      </c>
      <c r="D21" s="3" t="s">
        <v>42</v>
      </c>
      <c r="E21" s="2" t="s">
        <v>43</v>
      </c>
      <c r="F21" s="3">
        <v>76008.0</v>
      </c>
      <c r="G21" s="2" t="s">
        <v>164</v>
      </c>
      <c r="H21" s="2" t="s">
        <v>165</v>
      </c>
      <c r="I21" s="3">
        <v>9.731338444E9</v>
      </c>
      <c r="J21" s="5">
        <v>45527.47420138889</v>
      </c>
      <c r="K21" s="2" t="s">
        <v>46</v>
      </c>
      <c r="L21" s="2" t="s">
        <v>86</v>
      </c>
      <c r="M21" s="2" t="s">
        <v>87</v>
      </c>
      <c r="N21" s="2" t="s">
        <v>49</v>
      </c>
      <c r="O21" s="2" t="s">
        <v>50</v>
      </c>
      <c r="P21" s="3">
        <v>1984.0</v>
      </c>
      <c r="Q21" s="2" t="s">
        <v>51</v>
      </c>
      <c r="R21" s="2" t="s">
        <v>52</v>
      </c>
      <c r="S21" s="2" t="s">
        <v>53</v>
      </c>
      <c r="T21" s="2" t="s">
        <v>54</v>
      </c>
      <c r="U21" s="2" t="s">
        <v>55</v>
      </c>
      <c r="V21" s="2" t="s">
        <v>56</v>
      </c>
      <c r="W21" s="2" t="s">
        <v>57</v>
      </c>
      <c r="X21" s="3">
        <v>5.0</v>
      </c>
      <c r="Y21" s="2" t="s">
        <v>58</v>
      </c>
      <c r="Z21" s="3">
        <v>41.0</v>
      </c>
      <c r="AA21" s="3">
        <v>23.0</v>
      </c>
      <c r="AB21" s="3">
        <v>18.0</v>
      </c>
      <c r="AC21" s="3">
        <v>41.0</v>
      </c>
      <c r="AD21" s="3">
        <v>23.0</v>
      </c>
      <c r="AE21" s="3">
        <v>18.0</v>
      </c>
      <c r="AF21" s="4">
        <v>46059.0</v>
      </c>
      <c r="AG21" s="3" t="s">
        <v>71</v>
      </c>
      <c r="AH21" s="3">
        <v>8.0</v>
      </c>
      <c r="AI21" s="3">
        <v>0.0</v>
      </c>
      <c r="AJ21" s="3">
        <v>8.0</v>
      </c>
      <c r="AK21" s="3">
        <v>0.0</v>
      </c>
      <c r="AL21" s="3">
        <v>0.0</v>
      </c>
      <c r="AM21" s="3">
        <v>8.0</v>
      </c>
      <c r="AN21" s="3">
        <v>43.0</v>
      </c>
      <c r="AO21" s="3">
        <v>89.58</v>
      </c>
    </row>
    <row r="22">
      <c r="A22" s="2" t="s">
        <v>41</v>
      </c>
      <c r="B22" s="3">
        <v>40220.0</v>
      </c>
      <c r="C22" s="4">
        <v>46026.0</v>
      </c>
      <c r="D22" s="3" t="s">
        <v>42</v>
      </c>
      <c r="E22" s="2" t="s">
        <v>43</v>
      </c>
      <c r="F22" s="3">
        <v>81798.0</v>
      </c>
      <c r="G22" s="2" t="s">
        <v>166</v>
      </c>
      <c r="H22" s="2" t="s">
        <v>167</v>
      </c>
      <c r="I22" s="3">
        <v>9.342130832E9</v>
      </c>
      <c r="J22" s="5">
        <v>45818.03192129629</v>
      </c>
      <c r="K22" s="2" t="s">
        <v>46</v>
      </c>
      <c r="L22" s="2" t="s">
        <v>168</v>
      </c>
      <c r="M22" s="2" t="s">
        <v>169</v>
      </c>
      <c r="N22" s="2" t="s">
        <v>49</v>
      </c>
      <c r="O22" s="2" t="s">
        <v>108</v>
      </c>
      <c r="P22" s="3">
        <v>1984.0</v>
      </c>
      <c r="Q22" s="2" t="s">
        <v>51</v>
      </c>
      <c r="R22" s="2" t="s">
        <v>52</v>
      </c>
      <c r="S22" s="2" t="s">
        <v>53</v>
      </c>
      <c r="T22" s="2" t="s">
        <v>54</v>
      </c>
      <c r="U22" s="2" t="s">
        <v>55</v>
      </c>
      <c r="V22" s="2" t="s">
        <v>56</v>
      </c>
      <c r="W22" s="2" t="s">
        <v>57</v>
      </c>
      <c r="X22" s="3">
        <v>8.0</v>
      </c>
      <c r="Y22" s="2" t="s">
        <v>70</v>
      </c>
      <c r="Z22" s="3">
        <v>41.0</v>
      </c>
      <c r="AA22" s="3">
        <v>23.0</v>
      </c>
      <c r="AB22" s="3">
        <v>18.0</v>
      </c>
      <c r="AC22" s="3">
        <v>41.0</v>
      </c>
      <c r="AD22" s="3">
        <v>23.0</v>
      </c>
      <c r="AE22" s="3">
        <v>18.0</v>
      </c>
      <c r="AF22" s="4">
        <v>46028.0</v>
      </c>
      <c r="AG22" s="3" t="s">
        <v>99</v>
      </c>
      <c r="AH22" s="3">
        <v>8.0</v>
      </c>
      <c r="AI22" s="3">
        <v>0.0</v>
      </c>
      <c r="AJ22" s="3">
        <v>4.0</v>
      </c>
      <c r="AK22" s="3">
        <v>0.0</v>
      </c>
      <c r="AL22" s="3">
        <v>4.0</v>
      </c>
      <c r="AM22" s="3">
        <v>4.0</v>
      </c>
      <c r="AN22" s="3">
        <v>26.0</v>
      </c>
      <c r="AO22" s="3">
        <v>72.22</v>
      </c>
    </row>
    <row r="23">
      <c r="A23" s="2" t="s">
        <v>41</v>
      </c>
      <c r="B23" s="3">
        <v>40311.0</v>
      </c>
      <c r="C23" s="4">
        <v>46299.0</v>
      </c>
      <c r="D23" s="3" t="s">
        <v>72</v>
      </c>
      <c r="E23" s="2" t="s">
        <v>43</v>
      </c>
      <c r="F23" s="3">
        <v>83813.0</v>
      </c>
      <c r="G23" s="2" t="s">
        <v>170</v>
      </c>
      <c r="H23" s="2" t="s">
        <v>171</v>
      </c>
      <c r="I23" s="3">
        <v>9.518888736E9</v>
      </c>
      <c r="J23" s="5">
        <v>45855.200844907406</v>
      </c>
      <c r="K23" s="2" t="s">
        <v>102</v>
      </c>
      <c r="L23" s="2" t="s">
        <v>172</v>
      </c>
      <c r="M23" s="2" t="s">
        <v>173</v>
      </c>
      <c r="N23" s="2" t="s">
        <v>49</v>
      </c>
      <c r="O23" s="2" t="s">
        <v>50</v>
      </c>
      <c r="P23" s="3">
        <v>1986.0</v>
      </c>
      <c r="Q23" s="2" t="s">
        <v>78</v>
      </c>
      <c r="R23" s="2" t="s">
        <v>79</v>
      </c>
      <c r="S23" s="2" t="s">
        <v>80</v>
      </c>
      <c r="T23" s="2" t="s">
        <v>81</v>
      </c>
      <c r="U23" s="2" t="s">
        <v>55</v>
      </c>
      <c r="V23" s="2" t="s">
        <v>56</v>
      </c>
      <c r="W23" s="2" t="s">
        <v>57</v>
      </c>
      <c r="X23" s="3">
        <v>8.0</v>
      </c>
      <c r="Y23" s="2" t="s">
        <v>82</v>
      </c>
      <c r="Z23" s="3">
        <v>79.0</v>
      </c>
      <c r="AA23" s="3">
        <v>31.0</v>
      </c>
      <c r="AB23" s="3">
        <v>48.0</v>
      </c>
      <c r="AC23" s="3">
        <v>79.0</v>
      </c>
      <c r="AD23" s="3">
        <v>31.0</v>
      </c>
      <c r="AE23" s="3">
        <v>48.0</v>
      </c>
      <c r="AF23" s="3" t="s">
        <v>105</v>
      </c>
      <c r="AG23" s="3" t="s">
        <v>105</v>
      </c>
      <c r="AH23" s="3">
        <v>1.0</v>
      </c>
      <c r="AI23" s="3">
        <v>0.0</v>
      </c>
      <c r="AJ23" s="3">
        <v>1.0</v>
      </c>
      <c r="AK23" s="3">
        <v>0.0</v>
      </c>
      <c r="AL23" s="3">
        <v>0.0</v>
      </c>
      <c r="AM23" s="3">
        <v>1.0</v>
      </c>
      <c r="AN23" s="3">
        <v>12.0</v>
      </c>
      <c r="AO23" s="3">
        <v>35.29</v>
      </c>
    </row>
    <row r="24">
      <c r="A24" s="2" t="s">
        <v>41</v>
      </c>
      <c r="B24" s="3">
        <v>40064.0</v>
      </c>
      <c r="C24" s="3" t="s">
        <v>60</v>
      </c>
      <c r="D24" s="3" t="s">
        <v>42</v>
      </c>
      <c r="E24" s="2" t="s">
        <v>43</v>
      </c>
      <c r="F24" s="3">
        <v>80132.0</v>
      </c>
      <c r="G24" s="2" t="s">
        <v>174</v>
      </c>
      <c r="H24" s="2" t="s">
        <v>175</v>
      </c>
      <c r="I24" s="3">
        <v>8.105816439E9</v>
      </c>
      <c r="J24" s="5">
        <v>45703.41458333333</v>
      </c>
      <c r="K24" s="2" t="s">
        <v>176</v>
      </c>
      <c r="L24" s="2" t="s">
        <v>86</v>
      </c>
      <c r="M24" s="2" t="s">
        <v>87</v>
      </c>
      <c r="N24" s="2" t="s">
        <v>49</v>
      </c>
      <c r="O24" s="2" t="s">
        <v>177</v>
      </c>
      <c r="P24" s="3">
        <v>316.0</v>
      </c>
      <c r="Q24" s="2" t="s">
        <v>104</v>
      </c>
      <c r="R24" s="2" t="s">
        <v>65</v>
      </c>
      <c r="S24" s="2" t="s">
        <v>67</v>
      </c>
      <c r="T24" s="2" t="s">
        <v>68</v>
      </c>
      <c r="U24" s="2" t="s">
        <v>55</v>
      </c>
      <c r="V24" s="2" t="s">
        <v>69</v>
      </c>
      <c r="W24" s="2" t="s">
        <v>57</v>
      </c>
      <c r="X24" s="3">
        <v>5.0</v>
      </c>
      <c r="Y24" s="2" t="s">
        <v>70</v>
      </c>
      <c r="Z24" s="3">
        <v>43.0</v>
      </c>
      <c r="AA24" s="3">
        <v>24.0</v>
      </c>
      <c r="AB24" s="3">
        <v>19.0</v>
      </c>
      <c r="AC24" s="3">
        <v>43.0</v>
      </c>
      <c r="AD24" s="3">
        <v>24.0</v>
      </c>
      <c r="AE24" s="3">
        <v>19.0</v>
      </c>
      <c r="AF24" s="4">
        <v>46271.0</v>
      </c>
      <c r="AG24" s="3" t="s">
        <v>71</v>
      </c>
      <c r="AH24" s="3">
        <v>7.0</v>
      </c>
      <c r="AI24" s="3">
        <v>0.0</v>
      </c>
      <c r="AJ24" s="3">
        <v>7.0</v>
      </c>
      <c r="AK24" s="3">
        <v>0.0</v>
      </c>
      <c r="AL24" s="3">
        <v>0.0</v>
      </c>
      <c r="AM24" s="3">
        <v>7.0</v>
      </c>
      <c r="AN24" s="3">
        <v>33.0</v>
      </c>
      <c r="AO24" s="3">
        <v>78.57</v>
      </c>
    </row>
    <row r="25">
      <c r="A25" s="2" t="s">
        <v>41</v>
      </c>
      <c r="B25" s="3">
        <v>40129.0</v>
      </c>
      <c r="C25" s="4">
        <v>46055.0</v>
      </c>
      <c r="D25" s="3" t="s">
        <v>42</v>
      </c>
      <c r="E25" s="2" t="s">
        <v>43</v>
      </c>
      <c r="F25" s="3">
        <v>62583.0</v>
      </c>
      <c r="G25" s="2" t="s">
        <v>178</v>
      </c>
      <c r="H25" s="2" t="s">
        <v>179</v>
      </c>
      <c r="I25" s="3">
        <v>9.318333136E9</v>
      </c>
      <c r="J25" s="5">
        <v>44980.142696759256</v>
      </c>
      <c r="K25" s="2" t="s">
        <v>46</v>
      </c>
      <c r="L25" s="2" t="s">
        <v>180</v>
      </c>
      <c r="M25" s="2" t="s">
        <v>181</v>
      </c>
      <c r="N25" s="2" t="s">
        <v>49</v>
      </c>
      <c r="O25" s="2" t="s">
        <v>161</v>
      </c>
      <c r="P25" s="3">
        <v>1756.0</v>
      </c>
      <c r="Q25" s="2" t="s">
        <v>155</v>
      </c>
      <c r="R25" s="2" t="s">
        <v>65</v>
      </c>
      <c r="S25" s="2" t="s">
        <v>122</v>
      </c>
      <c r="T25" s="2" t="s">
        <v>68</v>
      </c>
      <c r="U25" s="2" t="s">
        <v>55</v>
      </c>
      <c r="V25" s="2" t="s">
        <v>69</v>
      </c>
      <c r="W25" s="2" t="s">
        <v>97</v>
      </c>
      <c r="X25" s="3">
        <v>8.0</v>
      </c>
      <c r="Y25" s="2" t="s">
        <v>58</v>
      </c>
      <c r="Z25" s="3">
        <v>23.0</v>
      </c>
      <c r="AA25" s="3">
        <v>15.0</v>
      </c>
      <c r="AB25" s="3">
        <v>8.0</v>
      </c>
      <c r="AC25" s="3">
        <v>14.0</v>
      </c>
      <c r="AD25" s="3">
        <v>6.0</v>
      </c>
      <c r="AE25" s="3">
        <v>8.0</v>
      </c>
      <c r="AF25" s="4">
        <v>46271.0</v>
      </c>
      <c r="AG25" s="3" t="s">
        <v>71</v>
      </c>
      <c r="AH25" s="3">
        <v>7.0</v>
      </c>
      <c r="AI25" s="3">
        <v>0.0</v>
      </c>
      <c r="AJ25" s="3">
        <v>5.0</v>
      </c>
      <c r="AK25" s="3">
        <v>2.0</v>
      </c>
      <c r="AL25" s="3">
        <v>0.0</v>
      </c>
      <c r="AM25" s="3">
        <v>7.0</v>
      </c>
      <c r="AN25" s="3">
        <v>21.0</v>
      </c>
      <c r="AO25" s="3">
        <v>50.0</v>
      </c>
    </row>
    <row r="26">
      <c r="A26" s="2" t="s">
        <v>41</v>
      </c>
      <c r="B26" s="3">
        <v>40072.0</v>
      </c>
      <c r="C26" s="3" t="s">
        <v>60</v>
      </c>
      <c r="D26" s="3" t="s">
        <v>42</v>
      </c>
      <c r="E26" s="2" t="s">
        <v>43</v>
      </c>
      <c r="F26" s="3">
        <v>88285.0</v>
      </c>
      <c r="G26" s="2" t="s">
        <v>182</v>
      </c>
      <c r="H26" s="2" t="s">
        <v>183</v>
      </c>
      <c r="I26" s="2">
        <v>9.836586083E9</v>
      </c>
      <c r="J26" s="5">
        <v>46047.285520833335</v>
      </c>
      <c r="K26" s="2" t="s">
        <v>46</v>
      </c>
      <c r="L26" s="2" t="s">
        <v>184</v>
      </c>
      <c r="M26" s="2" t="s">
        <v>65</v>
      </c>
      <c r="N26" s="2" t="s">
        <v>49</v>
      </c>
      <c r="O26" s="2" t="s">
        <v>88</v>
      </c>
      <c r="P26" s="3">
        <v>225.0</v>
      </c>
      <c r="Q26" s="2" t="s">
        <v>185</v>
      </c>
      <c r="R26" s="2" t="s">
        <v>65</v>
      </c>
      <c r="S26" s="2" t="s">
        <v>67</v>
      </c>
      <c r="T26" s="2" t="s">
        <v>68</v>
      </c>
      <c r="U26" s="2" t="s">
        <v>55</v>
      </c>
      <c r="V26" s="2" t="s">
        <v>69</v>
      </c>
      <c r="W26" s="2" t="s">
        <v>57</v>
      </c>
      <c r="X26" s="3">
        <v>7.0</v>
      </c>
      <c r="Y26" s="2" t="s">
        <v>70</v>
      </c>
      <c r="Z26" s="3">
        <v>101.0</v>
      </c>
      <c r="AA26" s="3">
        <v>46.0</v>
      </c>
      <c r="AB26" s="3">
        <v>54.0</v>
      </c>
      <c r="AC26" s="3">
        <v>100.0</v>
      </c>
      <c r="AD26" s="3">
        <v>46.0</v>
      </c>
      <c r="AE26" s="3">
        <v>54.0</v>
      </c>
      <c r="AF26" s="3" t="s">
        <v>186</v>
      </c>
      <c r="AG26" s="3" t="s">
        <v>71</v>
      </c>
      <c r="AH26" s="3">
        <v>3.0</v>
      </c>
      <c r="AI26" s="3">
        <v>0.0</v>
      </c>
      <c r="AJ26" s="3">
        <v>2.0</v>
      </c>
      <c r="AK26" s="3">
        <v>0.0</v>
      </c>
      <c r="AL26" s="3">
        <v>1.0</v>
      </c>
      <c r="AM26" s="3">
        <v>2.0</v>
      </c>
      <c r="AN26" s="3">
        <v>17.0</v>
      </c>
      <c r="AO26" s="3">
        <v>56.67</v>
      </c>
    </row>
    <row r="27">
      <c r="A27" s="2" t="s">
        <v>41</v>
      </c>
      <c r="B27" s="3">
        <v>40093.0</v>
      </c>
      <c r="C27" s="3" t="s">
        <v>151</v>
      </c>
      <c r="D27" s="3" t="s">
        <v>42</v>
      </c>
      <c r="E27" s="2" t="s">
        <v>43</v>
      </c>
      <c r="F27" s="3">
        <v>84046.0</v>
      </c>
      <c r="G27" s="2" t="s">
        <v>187</v>
      </c>
      <c r="H27" s="2" t="s">
        <v>188</v>
      </c>
      <c r="I27" s="3">
        <v>9.232074222E9</v>
      </c>
      <c r="J27" s="5">
        <v>45859.64774305555</v>
      </c>
      <c r="K27" s="2" t="s">
        <v>46</v>
      </c>
      <c r="L27" s="2" t="s">
        <v>103</v>
      </c>
      <c r="M27" s="2" t="s">
        <v>65</v>
      </c>
      <c r="N27" s="2" t="s">
        <v>49</v>
      </c>
      <c r="O27" s="2" t="s">
        <v>108</v>
      </c>
      <c r="P27" s="3">
        <v>1756.0</v>
      </c>
      <c r="Q27" s="2" t="s">
        <v>155</v>
      </c>
      <c r="R27" s="2" t="s">
        <v>65</v>
      </c>
      <c r="S27" s="2" t="s">
        <v>122</v>
      </c>
      <c r="T27" s="2" t="s">
        <v>68</v>
      </c>
      <c r="U27" s="2" t="s">
        <v>55</v>
      </c>
      <c r="V27" s="2" t="s">
        <v>69</v>
      </c>
      <c r="W27" s="2" t="s">
        <v>57</v>
      </c>
      <c r="X27" s="3">
        <v>8.0</v>
      </c>
      <c r="Y27" s="2" t="s">
        <v>70</v>
      </c>
      <c r="Z27" s="3">
        <v>23.0</v>
      </c>
      <c r="AA27" s="3">
        <v>15.0</v>
      </c>
      <c r="AB27" s="3">
        <v>8.0</v>
      </c>
      <c r="AC27" s="3">
        <v>14.0</v>
      </c>
      <c r="AD27" s="3">
        <v>6.0</v>
      </c>
      <c r="AE27" s="3">
        <v>8.0</v>
      </c>
      <c r="AF27" s="4">
        <v>46271.0</v>
      </c>
      <c r="AG27" s="3" t="s">
        <v>71</v>
      </c>
      <c r="AH27" s="3">
        <v>6.0</v>
      </c>
      <c r="AI27" s="3">
        <v>0.0</v>
      </c>
      <c r="AJ27" s="3">
        <v>5.0</v>
      </c>
      <c r="AK27" s="3">
        <v>1.0</v>
      </c>
      <c r="AL27" s="3">
        <v>0.0</v>
      </c>
      <c r="AM27" s="3">
        <v>6.0</v>
      </c>
      <c r="AN27" s="3">
        <v>16.0</v>
      </c>
      <c r="AO27" s="3">
        <v>44.44</v>
      </c>
    </row>
    <row r="28">
      <c r="A28" s="2" t="s">
        <v>41</v>
      </c>
      <c r="B28" s="3">
        <v>40178.0</v>
      </c>
      <c r="C28" s="3" t="s">
        <v>189</v>
      </c>
      <c r="D28" s="3" t="s">
        <v>42</v>
      </c>
      <c r="E28" s="2" t="s">
        <v>43</v>
      </c>
      <c r="F28" s="3">
        <v>84046.0</v>
      </c>
      <c r="G28" s="2" t="s">
        <v>187</v>
      </c>
      <c r="H28" s="2" t="s">
        <v>188</v>
      </c>
      <c r="I28" s="3">
        <v>9.232074222E9</v>
      </c>
      <c r="J28" s="5">
        <v>45859.64774305555</v>
      </c>
      <c r="K28" s="2" t="s">
        <v>46</v>
      </c>
      <c r="L28" s="2" t="s">
        <v>103</v>
      </c>
      <c r="M28" s="2" t="s">
        <v>65</v>
      </c>
      <c r="N28" s="2" t="s">
        <v>49</v>
      </c>
      <c r="O28" s="2" t="s">
        <v>108</v>
      </c>
      <c r="P28" s="3">
        <v>2051.0</v>
      </c>
      <c r="Q28" s="2" t="s">
        <v>190</v>
      </c>
      <c r="R28" s="2" t="s">
        <v>65</v>
      </c>
      <c r="S28" s="2" t="s">
        <v>122</v>
      </c>
      <c r="T28" s="6"/>
      <c r="U28" s="2" t="s">
        <v>55</v>
      </c>
      <c r="V28" s="2" t="s">
        <v>69</v>
      </c>
      <c r="W28" s="2" t="s">
        <v>57</v>
      </c>
      <c r="X28" s="3">
        <v>6.0</v>
      </c>
      <c r="Y28" s="2" t="s">
        <v>70</v>
      </c>
      <c r="Z28" s="3">
        <v>91.0</v>
      </c>
      <c r="AA28" s="3">
        <v>44.0</v>
      </c>
      <c r="AB28" s="3">
        <v>47.0</v>
      </c>
      <c r="AC28" s="3">
        <v>91.0</v>
      </c>
      <c r="AD28" s="3">
        <v>44.0</v>
      </c>
      <c r="AE28" s="3">
        <v>47.0</v>
      </c>
      <c r="AF28" s="3" t="s">
        <v>186</v>
      </c>
      <c r="AG28" s="3" t="s">
        <v>71</v>
      </c>
      <c r="AH28" s="3">
        <v>2.0</v>
      </c>
      <c r="AI28" s="3">
        <v>0.0</v>
      </c>
      <c r="AJ28" s="3">
        <v>0.0</v>
      </c>
      <c r="AK28" s="3">
        <v>1.0</v>
      </c>
      <c r="AL28" s="3">
        <v>1.0</v>
      </c>
      <c r="AM28" s="3">
        <v>1.0</v>
      </c>
      <c r="AN28" s="3">
        <v>10.0</v>
      </c>
      <c r="AO28" s="3">
        <v>50.0</v>
      </c>
    </row>
    <row r="29">
      <c r="A29" s="2" t="s">
        <v>41</v>
      </c>
      <c r="B29" s="3">
        <v>40214.0</v>
      </c>
      <c r="C29" s="4">
        <v>46026.0</v>
      </c>
      <c r="D29" s="3" t="s">
        <v>42</v>
      </c>
      <c r="E29" s="2" t="s">
        <v>43</v>
      </c>
      <c r="F29" s="3">
        <v>19021.0</v>
      </c>
      <c r="G29" s="2" t="s">
        <v>191</v>
      </c>
      <c r="H29" s="2" t="s">
        <v>192</v>
      </c>
      <c r="I29" s="3">
        <v>9.494228455E9</v>
      </c>
      <c r="J29" s="5">
        <v>42970.135671296295</v>
      </c>
      <c r="K29" s="2" t="s">
        <v>57</v>
      </c>
      <c r="L29" s="2" t="s">
        <v>193</v>
      </c>
      <c r="M29" s="2" t="s">
        <v>194</v>
      </c>
      <c r="N29" s="2" t="s">
        <v>49</v>
      </c>
      <c r="O29" s="2" t="s">
        <v>195</v>
      </c>
      <c r="P29" s="3">
        <v>1984.0</v>
      </c>
      <c r="Q29" s="2" t="s">
        <v>51</v>
      </c>
      <c r="R29" s="2" t="s">
        <v>52</v>
      </c>
      <c r="S29" s="2" t="s">
        <v>53</v>
      </c>
      <c r="T29" s="2" t="s">
        <v>54</v>
      </c>
      <c r="U29" s="2" t="s">
        <v>55</v>
      </c>
      <c r="V29" s="2" t="s">
        <v>56</v>
      </c>
      <c r="W29" s="2" t="s">
        <v>57</v>
      </c>
      <c r="X29" s="3">
        <v>5.0</v>
      </c>
      <c r="Y29" s="2" t="s">
        <v>70</v>
      </c>
      <c r="Z29" s="3">
        <v>41.0</v>
      </c>
      <c r="AA29" s="3">
        <v>23.0</v>
      </c>
      <c r="AB29" s="3">
        <v>18.0</v>
      </c>
      <c r="AC29" s="3">
        <v>41.0</v>
      </c>
      <c r="AD29" s="3">
        <v>23.0</v>
      </c>
      <c r="AE29" s="3">
        <v>18.0</v>
      </c>
      <c r="AF29" s="4">
        <v>46087.0</v>
      </c>
      <c r="AG29" s="3" t="s">
        <v>59</v>
      </c>
      <c r="AH29" s="3">
        <v>7.0</v>
      </c>
      <c r="AI29" s="3">
        <v>0.0</v>
      </c>
      <c r="AJ29" s="3">
        <v>6.0</v>
      </c>
      <c r="AK29" s="3">
        <v>0.0</v>
      </c>
      <c r="AL29" s="3">
        <v>1.0</v>
      </c>
      <c r="AM29" s="3">
        <v>6.0</v>
      </c>
      <c r="AN29" s="3">
        <v>31.0</v>
      </c>
      <c r="AO29" s="3">
        <v>86.11</v>
      </c>
    </row>
    <row r="30">
      <c r="A30" s="2" t="s">
        <v>41</v>
      </c>
      <c r="B30" s="3">
        <v>40176.0</v>
      </c>
      <c r="C30" s="3" t="s">
        <v>196</v>
      </c>
      <c r="D30" s="3" t="s">
        <v>42</v>
      </c>
      <c r="E30" s="2" t="s">
        <v>43</v>
      </c>
      <c r="F30" s="3">
        <v>87315.0</v>
      </c>
      <c r="G30" s="2" t="s">
        <v>197</v>
      </c>
      <c r="H30" s="2" t="s">
        <v>198</v>
      </c>
      <c r="I30" s="3">
        <v>9.868082343E9</v>
      </c>
      <c r="J30" s="5">
        <v>45996.784224537034</v>
      </c>
      <c r="K30" s="2" t="s">
        <v>46</v>
      </c>
      <c r="L30" s="2" t="s">
        <v>199</v>
      </c>
      <c r="M30" s="2" t="s">
        <v>65</v>
      </c>
      <c r="N30" s="2" t="s">
        <v>49</v>
      </c>
      <c r="O30" s="2" t="s">
        <v>77</v>
      </c>
      <c r="P30" s="3">
        <v>90.0</v>
      </c>
      <c r="Q30" s="2" t="s">
        <v>200</v>
      </c>
      <c r="R30" s="2" t="s">
        <v>65</v>
      </c>
      <c r="S30" s="2" t="s">
        <v>67</v>
      </c>
      <c r="T30" s="2" t="s">
        <v>201</v>
      </c>
      <c r="U30" s="2" t="s">
        <v>55</v>
      </c>
      <c r="V30" s="2" t="s">
        <v>69</v>
      </c>
      <c r="W30" s="2" t="s">
        <v>57</v>
      </c>
      <c r="X30" s="3">
        <v>6.0</v>
      </c>
      <c r="Y30" s="2" t="s">
        <v>70</v>
      </c>
      <c r="Z30" s="3">
        <v>88.0</v>
      </c>
      <c r="AA30" s="3">
        <v>40.0</v>
      </c>
      <c r="AB30" s="3">
        <v>48.0</v>
      </c>
      <c r="AC30" s="3">
        <v>88.0</v>
      </c>
      <c r="AD30" s="3">
        <v>40.0</v>
      </c>
      <c r="AE30" s="3">
        <v>48.0</v>
      </c>
      <c r="AF30" s="4">
        <v>46271.0</v>
      </c>
      <c r="AG30" s="3" t="s">
        <v>71</v>
      </c>
      <c r="AH30" s="3">
        <v>9.0</v>
      </c>
      <c r="AI30" s="3">
        <v>0.0</v>
      </c>
      <c r="AJ30" s="3">
        <v>9.0</v>
      </c>
      <c r="AK30" s="3">
        <v>0.0</v>
      </c>
      <c r="AL30" s="3">
        <v>0.0</v>
      </c>
      <c r="AM30" s="3">
        <v>9.0</v>
      </c>
      <c r="AN30" s="3">
        <v>338.0</v>
      </c>
      <c r="AO30" s="3">
        <v>79.91</v>
      </c>
    </row>
    <row r="31">
      <c r="A31" s="2" t="s">
        <v>41</v>
      </c>
      <c r="B31" s="3">
        <v>40459.0</v>
      </c>
      <c r="C31" s="5">
        <v>46193.5</v>
      </c>
      <c r="D31" s="5">
        <v>46477.5</v>
      </c>
      <c r="E31" s="2" t="s">
        <v>43</v>
      </c>
      <c r="F31" s="3">
        <v>88306.0</v>
      </c>
      <c r="G31" s="2" t="s">
        <v>202</v>
      </c>
      <c r="H31" s="2" t="s">
        <v>203</v>
      </c>
      <c r="I31" s="3">
        <v>9.480091246E9</v>
      </c>
      <c r="J31" s="5">
        <v>46047.72920138889</v>
      </c>
      <c r="K31" s="2" t="s">
        <v>46</v>
      </c>
      <c r="L31" s="2" t="s">
        <v>86</v>
      </c>
      <c r="M31" s="2" t="s">
        <v>87</v>
      </c>
      <c r="N31" s="2" t="s">
        <v>49</v>
      </c>
      <c r="O31" s="2" t="s">
        <v>161</v>
      </c>
      <c r="P31" s="3">
        <v>2027.0</v>
      </c>
      <c r="Q31" s="2" t="s">
        <v>129</v>
      </c>
      <c r="R31" s="2" t="s">
        <v>87</v>
      </c>
      <c r="S31" s="2" t="s">
        <v>130</v>
      </c>
      <c r="T31" s="2" t="s">
        <v>131</v>
      </c>
      <c r="U31" s="2" t="s">
        <v>55</v>
      </c>
      <c r="V31" s="2" t="s">
        <v>91</v>
      </c>
      <c r="W31" s="2" t="s">
        <v>115</v>
      </c>
      <c r="X31" s="3">
        <v>6.0</v>
      </c>
      <c r="Y31" s="2" t="s">
        <v>58</v>
      </c>
      <c r="Z31" s="3">
        <v>18.0</v>
      </c>
      <c r="AA31" s="3">
        <v>9.0</v>
      </c>
      <c r="AB31" s="3">
        <v>9.0</v>
      </c>
      <c r="AC31" s="3">
        <v>18.0</v>
      </c>
      <c r="AD31" s="3">
        <v>9.0</v>
      </c>
      <c r="AE31" s="3">
        <v>9.0</v>
      </c>
      <c r="AF31" s="3" t="s">
        <v>105</v>
      </c>
      <c r="AG31" s="3" t="s">
        <v>105</v>
      </c>
      <c r="AH31" s="3">
        <v>1.0</v>
      </c>
      <c r="AI31" s="3">
        <v>0.0</v>
      </c>
      <c r="AJ31" s="3">
        <v>1.0</v>
      </c>
      <c r="AK31" s="3">
        <v>0.0</v>
      </c>
      <c r="AL31" s="3">
        <v>0.0</v>
      </c>
      <c r="AM31" s="3">
        <v>1.0</v>
      </c>
      <c r="AN31" s="3">
        <v>3.0</v>
      </c>
      <c r="AO31" s="3">
        <v>60.0</v>
      </c>
    </row>
    <row r="32">
      <c r="A32" s="2" t="s">
        <v>41</v>
      </c>
      <c r="B32" s="3">
        <v>40570.0</v>
      </c>
      <c r="C32" s="5">
        <v>46200.5</v>
      </c>
      <c r="D32" s="5">
        <v>46477.5</v>
      </c>
      <c r="E32" s="2" t="s">
        <v>43</v>
      </c>
      <c r="F32" s="3">
        <v>83776.0</v>
      </c>
      <c r="G32" s="2" t="s">
        <v>204</v>
      </c>
      <c r="H32" s="2" t="s">
        <v>205</v>
      </c>
      <c r="I32" s="3">
        <v>9.94546968E9</v>
      </c>
      <c r="J32" s="5">
        <v>45854.70480324074</v>
      </c>
      <c r="K32" s="2" t="s">
        <v>206</v>
      </c>
      <c r="L32" s="2" t="s">
        <v>86</v>
      </c>
      <c r="M32" s="2" t="s">
        <v>87</v>
      </c>
      <c r="N32" s="2" t="s">
        <v>49</v>
      </c>
      <c r="O32" s="2" t="s">
        <v>50</v>
      </c>
      <c r="P32" s="3">
        <v>147.0</v>
      </c>
      <c r="Q32" s="2" t="s">
        <v>207</v>
      </c>
      <c r="R32" s="2" t="s">
        <v>87</v>
      </c>
      <c r="S32" s="2" t="s">
        <v>208</v>
      </c>
      <c r="T32" s="2" t="s">
        <v>206</v>
      </c>
      <c r="U32" s="2" t="s">
        <v>55</v>
      </c>
      <c r="V32" s="2" t="s">
        <v>91</v>
      </c>
      <c r="W32" s="2" t="s">
        <v>115</v>
      </c>
      <c r="X32" s="3">
        <v>5.0</v>
      </c>
      <c r="Y32" s="2" t="s">
        <v>58</v>
      </c>
      <c r="Z32" s="3">
        <v>79.0</v>
      </c>
      <c r="AA32" s="3">
        <v>35.0</v>
      </c>
      <c r="AB32" s="3">
        <v>44.0</v>
      </c>
      <c r="AC32" s="3">
        <v>79.0</v>
      </c>
      <c r="AD32" s="3">
        <v>35.0</v>
      </c>
      <c r="AE32" s="3">
        <v>44.0</v>
      </c>
      <c r="AF32" s="3" t="s">
        <v>71</v>
      </c>
      <c r="AG32" s="3" t="s">
        <v>71</v>
      </c>
      <c r="AH32" s="3">
        <v>1.0</v>
      </c>
      <c r="AI32" s="3">
        <v>0.0</v>
      </c>
      <c r="AJ32" s="3">
        <v>1.0</v>
      </c>
      <c r="AK32" s="3">
        <v>0.0</v>
      </c>
      <c r="AL32" s="3">
        <v>0.0</v>
      </c>
      <c r="AM32" s="3">
        <v>1.0</v>
      </c>
      <c r="AN32" s="3">
        <v>21.0</v>
      </c>
      <c r="AO32" s="3">
        <v>100.0</v>
      </c>
    </row>
    <row r="33">
      <c r="A33" s="2" t="s">
        <v>41</v>
      </c>
      <c r="B33" s="3">
        <v>40216.0</v>
      </c>
      <c r="C33" s="4">
        <v>46026.0</v>
      </c>
      <c r="D33" s="3" t="s">
        <v>42</v>
      </c>
      <c r="E33" s="2" t="s">
        <v>43</v>
      </c>
      <c r="F33" s="3">
        <v>76163.0</v>
      </c>
      <c r="G33" s="2" t="s">
        <v>209</v>
      </c>
      <c r="H33" s="2" t="s">
        <v>210</v>
      </c>
      <c r="I33" s="3">
        <v>9.171700751E9</v>
      </c>
      <c r="J33" s="5">
        <v>45531.837743055556</v>
      </c>
      <c r="K33" s="2" t="s">
        <v>46</v>
      </c>
      <c r="L33" s="2" t="s">
        <v>211</v>
      </c>
      <c r="M33" s="2" t="s">
        <v>212</v>
      </c>
      <c r="N33" s="2" t="s">
        <v>49</v>
      </c>
      <c r="O33" s="2" t="s">
        <v>108</v>
      </c>
      <c r="P33" s="3">
        <v>1984.0</v>
      </c>
      <c r="Q33" s="2" t="s">
        <v>51</v>
      </c>
      <c r="R33" s="2" t="s">
        <v>52</v>
      </c>
      <c r="S33" s="2" t="s">
        <v>53</v>
      </c>
      <c r="T33" s="2" t="s">
        <v>54</v>
      </c>
      <c r="U33" s="2" t="s">
        <v>55</v>
      </c>
      <c r="V33" s="2" t="s">
        <v>56</v>
      </c>
      <c r="W33" s="2" t="s">
        <v>57</v>
      </c>
      <c r="X33" s="3">
        <v>6.0</v>
      </c>
      <c r="Y33" s="2" t="s">
        <v>70</v>
      </c>
      <c r="Z33" s="3">
        <v>41.0</v>
      </c>
      <c r="AA33" s="3">
        <v>23.0</v>
      </c>
      <c r="AB33" s="3">
        <v>18.0</v>
      </c>
      <c r="AC33" s="3">
        <v>41.0</v>
      </c>
      <c r="AD33" s="3">
        <v>23.0</v>
      </c>
      <c r="AE33" s="3">
        <v>18.0</v>
      </c>
      <c r="AF33" s="4">
        <v>46087.0</v>
      </c>
      <c r="AG33" s="3" t="s">
        <v>99</v>
      </c>
      <c r="AH33" s="3">
        <v>8.0</v>
      </c>
      <c r="AI33" s="3">
        <v>0.0</v>
      </c>
      <c r="AJ33" s="3">
        <v>6.0</v>
      </c>
      <c r="AK33" s="3">
        <v>0.0</v>
      </c>
      <c r="AL33" s="3">
        <v>2.0</v>
      </c>
      <c r="AM33" s="3">
        <v>6.0</v>
      </c>
      <c r="AN33" s="3">
        <v>63.0</v>
      </c>
      <c r="AO33" s="3">
        <v>80.77</v>
      </c>
    </row>
    <row r="34">
      <c r="A34" s="2" t="s">
        <v>41</v>
      </c>
      <c r="B34" s="3">
        <v>40094.0</v>
      </c>
      <c r="C34" s="3" t="s">
        <v>151</v>
      </c>
      <c r="D34" s="3" t="s">
        <v>42</v>
      </c>
      <c r="E34" s="2" t="s">
        <v>43</v>
      </c>
      <c r="F34" s="3">
        <v>68848.0</v>
      </c>
      <c r="G34" s="2" t="s">
        <v>213</v>
      </c>
      <c r="H34" s="2" t="s">
        <v>214</v>
      </c>
      <c r="I34" s="3">
        <v>9.748205305E9</v>
      </c>
      <c r="J34" s="5">
        <v>45207.10118055555</v>
      </c>
      <c r="K34" s="2" t="s">
        <v>46</v>
      </c>
      <c r="L34" s="2" t="s">
        <v>215</v>
      </c>
      <c r="M34" s="2" t="s">
        <v>65</v>
      </c>
      <c r="N34" s="2" t="s">
        <v>49</v>
      </c>
      <c r="O34" s="2" t="s">
        <v>216</v>
      </c>
      <c r="P34" s="3">
        <v>316.0</v>
      </c>
      <c r="Q34" s="2" t="s">
        <v>104</v>
      </c>
      <c r="R34" s="2" t="s">
        <v>65</v>
      </c>
      <c r="S34" s="2" t="s">
        <v>67</v>
      </c>
      <c r="T34" s="2" t="s">
        <v>68</v>
      </c>
      <c r="U34" s="2" t="s">
        <v>55</v>
      </c>
      <c r="V34" s="2" t="s">
        <v>69</v>
      </c>
      <c r="W34" s="2" t="s">
        <v>57</v>
      </c>
      <c r="X34" s="3">
        <v>8.0</v>
      </c>
      <c r="Y34" s="2" t="s">
        <v>70</v>
      </c>
      <c r="Z34" s="3">
        <v>43.0</v>
      </c>
      <c r="AA34" s="3">
        <v>24.0</v>
      </c>
      <c r="AB34" s="3">
        <v>19.0</v>
      </c>
      <c r="AC34" s="3">
        <v>43.0</v>
      </c>
      <c r="AD34" s="3">
        <v>24.0</v>
      </c>
      <c r="AE34" s="3">
        <v>19.0</v>
      </c>
      <c r="AF34" s="4">
        <v>46271.0</v>
      </c>
      <c r="AG34" s="3" t="s">
        <v>71</v>
      </c>
      <c r="AH34" s="3">
        <v>7.0</v>
      </c>
      <c r="AI34" s="3">
        <v>0.0</v>
      </c>
      <c r="AJ34" s="3">
        <v>6.0</v>
      </c>
      <c r="AK34" s="3">
        <v>1.0</v>
      </c>
      <c r="AL34" s="3">
        <v>0.0</v>
      </c>
      <c r="AM34" s="3">
        <v>7.0</v>
      </c>
      <c r="AN34" s="3">
        <v>89.0</v>
      </c>
      <c r="AO34" s="3">
        <v>63.57</v>
      </c>
    </row>
    <row r="35">
      <c r="A35" s="2" t="s">
        <v>41</v>
      </c>
      <c r="B35" s="3">
        <v>40040.0</v>
      </c>
      <c r="C35" s="3" t="s">
        <v>60</v>
      </c>
      <c r="D35" s="3" t="s">
        <v>42</v>
      </c>
      <c r="E35" s="2" t="s">
        <v>43</v>
      </c>
      <c r="F35" s="3">
        <v>88781.0</v>
      </c>
      <c r="G35" s="2" t="s">
        <v>217</v>
      </c>
      <c r="H35" s="2" t="s">
        <v>218</v>
      </c>
      <c r="I35" s="3">
        <v>7.432931485E9</v>
      </c>
      <c r="J35" s="5">
        <v>46074.866944444446</v>
      </c>
      <c r="K35" s="2" t="s">
        <v>46</v>
      </c>
      <c r="L35" s="2" t="s">
        <v>219</v>
      </c>
      <c r="M35" s="2" t="s">
        <v>65</v>
      </c>
      <c r="N35" s="2" t="s">
        <v>49</v>
      </c>
      <c r="O35" s="2" t="s">
        <v>50</v>
      </c>
      <c r="P35" s="3">
        <v>95.0</v>
      </c>
      <c r="Q35" s="2" t="s">
        <v>66</v>
      </c>
      <c r="R35" s="2" t="s">
        <v>65</v>
      </c>
      <c r="S35" s="2" t="s">
        <v>67</v>
      </c>
      <c r="T35" s="2" t="s">
        <v>68</v>
      </c>
      <c r="U35" s="2" t="s">
        <v>55</v>
      </c>
      <c r="V35" s="2" t="s">
        <v>69</v>
      </c>
      <c r="W35" s="2" t="s">
        <v>97</v>
      </c>
      <c r="X35" s="3">
        <v>7.0</v>
      </c>
      <c r="Y35" s="2" t="s">
        <v>58</v>
      </c>
      <c r="Z35" s="3">
        <v>132.0</v>
      </c>
      <c r="AA35" s="3">
        <v>79.0</v>
      </c>
      <c r="AB35" s="3">
        <v>53.0</v>
      </c>
      <c r="AC35" s="3">
        <v>116.0</v>
      </c>
      <c r="AD35" s="3">
        <v>66.0</v>
      </c>
      <c r="AE35" s="3">
        <v>50.0</v>
      </c>
      <c r="AF35" s="4">
        <v>46271.0</v>
      </c>
      <c r="AG35" s="3" t="s">
        <v>71</v>
      </c>
      <c r="AH35" s="3">
        <v>7.0</v>
      </c>
      <c r="AI35" s="3">
        <v>0.0</v>
      </c>
      <c r="AJ35" s="3">
        <v>5.0</v>
      </c>
      <c r="AK35" s="3">
        <v>2.0</v>
      </c>
      <c r="AL35" s="3">
        <v>0.0</v>
      </c>
      <c r="AM35" s="3">
        <v>7.0</v>
      </c>
      <c r="AN35" s="3">
        <v>161.0</v>
      </c>
      <c r="AO35" s="3">
        <v>76.67</v>
      </c>
    </row>
    <row r="36">
      <c r="A36" s="2" t="s">
        <v>41</v>
      </c>
      <c r="B36" s="3">
        <v>40259.0</v>
      </c>
      <c r="C36" s="3" t="s">
        <v>220</v>
      </c>
      <c r="D36" s="3" t="s">
        <v>42</v>
      </c>
      <c r="E36" s="2" t="s">
        <v>43</v>
      </c>
      <c r="F36" s="3">
        <v>88460.0</v>
      </c>
      <c r="G36" s="2" t="s">
        <v>221</v>
      </c>
      <c r="H36" s="2" t="s">
        <v>222</v>
      </c>
      <c r="I36" s="3">
        <v>7.009803495E9</v>
      </c>
      <c r="J36" s="5">
        <v>46055.72472222222</v>
      </c>
      <c r="K36" s="2" t="s">
        <v>46</v>
      </c>
      <c r="L36" s="2" t="s">
        <v>223</v>
      </c>
      <c r="M36" s="2" t="s">
        <v>224</v>
      </c>
      <c r="N36" s="2" t="s">
        <v>49</v>
      </c>
      <c r="O36" s="2" t="s">
        <v>88</v>
      </c>
      <c r="P36" s="3">
        <v>1984.0</v>
      </c>
      <c r="Q36" s="2" t="s">
        <v>51</v>
      </c>
      <c r="R36" s="2" t="s">
        <v>52</v>
      </c>
      <c r="S36" s="2" t="s">
        <v>53</v>
      </c>
      <c r="T36" s="2" t="s">
        <v>54</v>
      </c>
      <c r="U36" s="2" t="s">
        <v>55</v>
      </c>
      <c r="V36" s="2" t="s">
        <v>56</v>
      </c>
      <c r="W36" s="2" t="s">
        <v>57</v>
      </c>
      <c r="X36" s="3">
        <v>6.0</v>
      </c>
      <c r="Y36" s="2" t="s">
        <v>98</v>
      </c>
      <c r="Z36" s="3">
        <v>41.0</v>
      </c>
      <c r="AA36" s="3">
        <v>23.0</v>
      </c>
      <c r="AB36" s="3">
        <v>18.0</v>
      </c>
      <c r="AC36" s="3">
        <v>41.0</v>
      </c>
      <c r="AD36" s="3">
        <v>23.0</v>
      </c>
      <c r="AE36" s="3">
        <v>18.0</v>
      </c>
      <c r="AF36" s="4">
        <v>46028.0</v>
      </c>
      <c r="AG36" s="3" t="s">
        <v>142</v>
      </c>
      <c r="AH36" s="3">
        <v>7.0</v>
      </c>
      <c r="AI36" s="3">
        <v>0.0</v>
      </c>
      <c r="AJ36" s="3">
        <v>4.0</v>
      </c>
      <c r="AK36" s="3">
        <v>0.0</v>
      </c>
      <c r="AL36" s="3">
        <v>3.0</v>
      </c>
      <c r="AM36" s="3">
        <v>4.0</v>
      </c>
      <c r="AN36" s="3">
        <v>43.0</v>
      </c>
      <c r="AO36" s="3">
        <v>82.69</v>
      </c>
    </row>
    <row r="37">
      <c r="A37" s="2" t="s">
        <v>41</v>
      </c>
      <c r="B37" s="3">
        <v>40573.0</v>
      </c>
      <c r="C37" s="5">
        <v>46200.5</v>
      </c>
      <c r="D37" s="5">
        <v>46477.5</v>
      </c>
      <c r="E37" s="2" t="s">
        <v>43</v>
      </c>
      <c r="F37" s="3">
        <v>53786.0</v>
      </c>
      <c r="G37" s="2" t="s">
        <v>225</v>
      </c>
      <c r="H37" s="2" t="s">
        <v>226</v>
      </c>
      <c r="I37" s="3">
        <v>9.482040711E9</v>
      </c>
      <c r="J37" s="5">
        <v>44499.307280092595</v>
      </c>
      <c r="K37" s="2" t="s">
        <v>46</v>
      </c>
      <c r="L37" s="2" t="s">
        <v>227</v>
      </c>
      <c r="M37" s="2" t="s">
        <v>87</v>
      </c>
      <c r="N37" s="2" t="s">
        <v>49</v>
      </c>
      <c r="O37" s="2" t="s">
        <v>50</v>
      </c>
      <c r="P37" s="3">
        <v>147.0</v>
      </c>
      <c r="Q37" s="2" t="s">
        <v>207</v>
      </c>
      <c r="R37" s="2" t="s">
        <v>87</v>
      </c>
      <c r="S37" s="2" t="s">
        <v>208</v>
      </c>
      <c r="T37" s="2" t="s">
        <v>206</v>
      </c>
      <c r="U37" s="2" t="s">
        <v>55</v>
      </c>
      <c r="V37" s="2" t="s">
        <v>91</v>
      </c>
      <c r="W37" s="2" t="s">
        <v>115</v>
      </c>
      <c r="X37" s="3">
        <v>8.0</v>
      </c>
      <c r="Y37" s="2" t="s">
        <v>98</v>
      </c>
      <c r="Z37" s="3">
        <v>79.0</v>
      </c>
      <c r="AA37" s="3">
        <v>35.0</v>
      </c>
      <c r="AB37" s="3">
        <v>44.0</v>
      </c>
      <c r="AC37" s="3">
        <v>79.0</v>
      </c>
      <c r="AD37" s="3">
        <v>35.0</v>
      </c>
      <c r="AE37" s="3">
        <v>44.0</v>
      </c>
      <c r="AF37" s="3" t="s">
        <v>71</v>
      </c>
      <c r="AG37" s="3" t="s">
        <v>71</v>
      </c>
      <c r="AH37" s="3">
        <v>1.0</v>
      </c>
      <c r="AI37" s="3">
        <v>0.0</v>
      </c>
      <c r="AJ37" s="3">
        <v>1.0</v>
      </c>
      <c r="AK37" s="3">
        <v>0.0</v>
      </c>
      <c r="AL37" s="3">
        <v>0.0</v>
      </c>
      <c r="AM37" s="3">
        <v>1.0</v>
      </c>
      <c r="AN37" s="3">
        <v>17.0</v>
      </c>
      <c r="AO37" s="3">
        <v>85.0</v>
      </c>
    </row>
    <row r="38">
      <c r="A38" s="2" t="s">
        <v>41</v>
      </c>
      <c r="B38" s="3">
        <v>40050.0</v>
      </c>
      <c r="C38" s="3" t="s">
        <v>60</v>
      </c>
      <c r="D38" s="3" t="s">
        <v>42</v>
      </c>
      <c r="E38" s="2" t="s">
        <v>43</v>
      </c>
      <c r="F38" s="3">
        <v>75140.0</v>
      </c>
      <c r="G38" s="2" t="s">
        <v>228</v>
      </c>
      <c r="H38" s="2" t="s">
        <v>229</v>
      </c>
      <c r="I38" s="3">
        <v>6.291109286E9</v>
      </c>
      <c r="J38" s="5">
        <v>45503.44866898148</v>
      </c>
      <c r="K38" s="2" t="s">
        <v>176</v>
      </c>
      <c r="L38" s="2" t="s">
        <v>230</v>
      </c>
      <c r="M38" s="2" t="s">
        <v>65</v>
      </c>
      <c r="N38" s="2" t="s">
        <v>49</v>
      </c>
      <c r="O38" s="2" t="s">
        <v>50</v>
      </c>
      <c r="P38" s="3">
        <v>226.0</v>
      </c>
      <c r="Q38" s="2" t="s">
        <v>231</v>
      </c>
      <c r="R38" s="2" t="s">
        <v>65</v>
      </c>
      <c r="S38" s="2" t="s">
        <v>67</v>
      </c>
      <c r="T38" s="2" t="s">
        <v>68</v>
      </c>
      <c r="U38" s="2" t="s">
        <v>55</v>
      </c>
      <c r="V38" s="2" t="s">
        <v>69</v>
      </c>
      <c r="W38" s="2" t="s">
        <v>97</v>
      </c>
      <c r="X38" s="3">
        <v>8.0</v>
      </c>
      <c r="Y38" s="2" t="s">
        <v>58</v>
      </c>
      <c r="Z38" s="3">
        <v>81.0</v>
      </c>
      <c r="AA38" s="3">
        <v>34.0</v>
      </c>
      <c r="AB38" s="3">
        <v>47.0</v>
      </c>
      <c r="AC38" s="3">
        <v>81.0</v>
      </c>
      <c r="AD38" s="3">
        <v>34.0</v>
      </c>
      <c r="AE38" s="3">
        <v>47.0</v>
      </c>
      <c r="AF38" s="4">
        <v>46271.0</v>
      </c>
      <c r="AG38" s="3" t="s">
        <v>71</v>
      </c>
      <c r="AH38" s="3">
        <v>7.0</v>
      </c>
      <c r="AI38" s="3">
        <v>0.0</v>
      </c>
      <c r="AJ38" s="3">
        <v>6.0</v>
      </c>
      <c r="AK38" s="3">
        <v>1.0</v>
      </c>
      <c r="AL38" s="3">
        <v>0.0</v>
      </c>
      <c r="AM38" s="3">
        <v>7.0</v>
      </c>
      <c r="AN38" s="3">
        <v>93.0</v>
      </c>
      <c r="AO38" s="3">
        <v>78.15</v>
      </c>
    </row>
    <row r="39">
      <c r="A39" s="2" t="s">
        <v>41</v>
      </c>
      <c r="B39" s="3">
        <v>40449.0</v>
      </c>
      <c r="C39" s="5">
        <v>46193.5</v>
      </c>
      <c r="D39" s="5">
        <v>46477.5</v>
      </c>
      <c r="E39" s="2" t="s">
        <v>43</v>
      </c>
      <c r="F39" s="3">
        <v>89437.0</v>
      </c>
      <c r="G39" s="2" t="s">
        <v>232</v>
      </c>
      <c r="H39" s="2" t="s">
        <v>233</v>
      </c>
      <c r="I39" s="3">
        <v>9.1807E9</v>
      </c>
      <c r="J39" s="5">
        <v>46120.34291666667</v>
      </c>
      <c r="K39" s="2" t="s">
        <v>46</v>
      </c>
      <c r="L39" s="2" t="s">
        <v>227</v>
      </c>
      <c r="M39" s="2" t="s">
        <v>87</v>
      </c>
      <c r="N39" s="2" t="s">
        <v>49</v>
      </c>
      <c r="O39" s="2" t="s">
        <v>128</v>
      </c>
      <c r="P39" s="3">
        <v>38.0</v>
      </c>
      <c r="Q39" s="2" t="s">
        <v>234</v>
      </c>
      <c r="R39" s="2" t="s">
        <v>87</v>
      </c>
      <c r="S39" s="2" t="s">
        <v>208</v>
      </c>
      <c r="T39" s="2" t="s">
        <v>68</v>
      </c>
      <c r="U39" s="2" t="s">
        <v>55</v>
      </c>
      <c r="V39" s="2" t="s">
        <v>91</v>
      </c>
      <c r="W39" s="2" t="s">
        <v>57</v>
      </c>
      <c r="X39" s="3">
        <v>7.0</v>
      </c>
      <c r="Y39" s="2" t="s">
        <v>70</v>
      </c>
      <c r="Z39" s="3">
        <v>63.0</v>
      </c>
      <c r="AA39" s="3">
        <v>35.0</v>
      </c>
      <c r="AB39" s="3">
        <v>28.0</v>
      </c>
      <c r="AC39" s="3">
        <v>62.0</v>
      </c>
      <c r="AD39" s="3">
        <v>35.0</v>
      </c>
      <c r="AE39" s="3">
        <v>27.0</v>
      </c>
      <c r="AF39" s="3" t="s">
        <v>142</v>
      </c>
      <c r="AG39" s="3" t="s">
        <v>71</v>
      </c>
      <c r="AH39" s="3">
        <v>4.0</v>
      </c>
      <c r="AI39" s="3">
        <v>0.0</v>
      </c>
      <c r="AJ39" s="3">
        <v>4.0</v>
      </c>
      <c r="AK39" s="3">
        <v>0.0</v>
      </c>
      <c r="AL39" s="3">
        <v>0.0</v>
      </c>
      <c r="AM39" s="3">
        <v>4.0</v>
      </c>
      <c r="AN39" s="3">
        <v>63.0</v>
      </c>
      <c r="AO39" s="3">
        <v>82.89</v>
      </c>
    </row>
    <row r="40">
      <c r="A40" s="2" t="s">
        <v>41</v>
      </c>
      <c r="B40" s="3">
        <v>40445.0</v>
      </c>
      <c r="C40" s="5">
        <v>46193.5</v>
      </c>
      <c r="D40" s="5">
        <v>46477.5</v>
      </c>
      <c r="E40" s="2" t="s">
        <v>43</v>
      </c>
      <c r="F40" s="3">
        <v>89576.0</v>
      </c>
      <c r="G40" s="2" t="s">
        <v>235</v>
      </c>
      <c r="H40" s="2" t="s">
        <v>236</v>
      </c>
      <c r="I40" s="3">
        <v>9.901293002E9</v>
      </c>
      <c r="J40" s="5">
        <v>46127.514560185184</v>
      </c>
      <c r="K40" s="2" t="s">
        <v>46</v>
      </c>
      <c r="L40" s="2" t="s">
        <v>86</v>
      </c>
      <c r="M40" s="2" t="s">
        <v>87</v>
      </c>
      <c r="N40" s="2" t="s">
        <v>49</v>
      </c>
      <c r="O40" s="2" t="s">
        <v>128</v>
      </c>
      <c r="P40" s="3">
        <v>1061.0</v>
      </c>
      <c r="Q40" s="2" t="s">
        <v>89</v>
      </c>
      <c r="R40" s="2" t="s">
        <v>87</v>
      </c>
      <c r="S40" s="2" t="s">
        <v>90</v>
      </c>
      <c r="T40" s="2" t="s">
        <v>81</v>
      </c>
      <c r="U40" s="2" t="s">
        <v>55</v>
      </c>
      <c r="V40" s="2" t="s">
        <v>91</v>
      </c>
      <c r="W40" s="2" t="s">
        <v>115</v>
      </c>
      <c r="X40" s="3">
        <v>7.0</v>
      </c>
      <c r="Y40" s="2" t="s">
        <v>58</v>
      </c>
      <c r="Z40" s="3">
        <v>79.0</v>
      </c>
      <c r="AA40" s="3">
        <v>47.0</v>
      </c>
      <c r="AB40" s="3">
        <v>32.0</v>
      </c>
      <c r="AC40" s="3">
        <v>76.0</v>
      </c>
      <c r="AD40" s="3">
        <v>44.0</v>
      </c>
      <c r="AE40" s="3">
        <v>32.0</v>
      </c>
      <c r="AF40" s="3" t="s">
        <v>142</v>
      </c>
      <c r="AG40" s="3" t="s">
        <v>71</v>
      </c>
      <c r="AH40" s="3">
        <v>4.0</v>
      </c>
      <c r="AI40" s="3">
        <v>0.0</v>
      </c>
      <c r="AJ40" s="3">
        <v>4.0</v>
      </c>
      <c r="AK40" s="3">
        <v>0.0</v>
      </c>
      <c r="AL40" s="3">
        <v>0.0</v>
      </c>
      <c r="AM40" s="3">
        <v>4.0</v>
      </c>
      <c r="AN40" s="3">
        <v>90.0</v>
      </c>
      <c r="AO40" s="3">
        <v>86.54</v>
      </c>
    </row>
    <row r="41">
      <c r="A41" s="2" t="s">
        <v>41</v>
      </c>
      <c r="B41" s="3">
        <v>40043.0</v>
      </c>
      <c r="C41" s="3" t="s">
        <v>60</v>
      </c>
      <c r="D41" s="3" t="s">
        <v>42</v>
      </c>
      <c r="E41" s="2" t="s">
        <v>237</v>
      </c>
      <c r="F41" s="3">
        <v>84960.0</v>
      </c>
      <c r="G41" s="2" t="s">
        <v>238</v>
      </c>
      <c r="H41" s="2" t="s">
        <v>239</v>
      </c>
      <c r="I41" s="3">
        <v>9.833261082E9</v>
      </c>
      <c r="J41" s="5">
        <v>45888.75613425926</v>
      </c>
      <c r="K41" s="2" t="s">
        <v>46</v>
      </c>
      <c r="L41" s="2" t="s">
        <v>240</v>
      </c>
      <c r="M41" s="2" t="s">
        <v>48</v>
      </c>
      <c r="N41" s="2" t="s">
        <v>49</v>
      </c>
      <c r="O41" s="2" t="s">
        <v>216</v>
      </c>
      <c r="P41" s="3">
        <v>226.0</v>
      </c>
      <c r="Q41" s="2" t="s">
        <v>231</v>
      </c>
      <c r="R41" s="2" t="s">
        <v>65</v>
      </c>
      <c r="S41" s="2" t="s">
        <v>67</v>
      </c>
      <c r="T41" s="2" t="s">
        <v>68</v>
      </c>
      <c r="U41" s="2" t="s">
        <v>55</v>
      </c>
      <c r="V41" s="2" t="s">
        <v>69</v>
      </c>
      <c r="W41" s="2" t="s">
        <v>97</v>
      </c>
      <c r="X41" s="3">
        <v>5.0</v>
      </c>
      <c r="Y41" s="2" t="s">
        <v>58</v>
      </c>
      <c r="Z41" s="3">
        <v>81.0</v>
      </c>
      <c r="AA41" s="3">
        <v>34.0</v>
      </c>
      <c r="AB41" s="3">
        <v>47.0</v>
      </c>
      <c r="AC41" s="3">
        <v>81.0</v>
      </c>
      <c r="AD41" s="3">
        <v>34.0</v>
      </c>
      <c r="AE41" s="3">
        <v>47.0</v>
      </c>
      <c r="AF41" s="4">
        <v>46301.0</v>
      </c>
      <c r="AG41" s="4">
        <v>46301.0</v>
      </c>
      <c r="AH41" s="3">
        <v>1.0</v>
      </c>
      <c r="AI41" s="3">
        <v>0.0</v>
      </c>
      <c r="AJ41" s="3">
        <v>0.0</v>
      </c>
      <c r="AK41" s="3">
        <v>0.0</v>
      </c>
      <c r="AL41" s="3">
        <v>1.0</v>
      </c>
      <c r="AM41" s="3">
        <v>0.0</v>
      </c>
      <c r="AN41" s="3">
        <v>0.0</v>
      </c>
      <c r="AO41" s="6"/>
    </row>
    <row r="42">
      <c r="A42" s="2" t="s">
        <v>41</v>
      </c>
      <c r="B42" s="3">
        <v>40447.0</v>
      </c>
      <c r="C42" s="5">
        <v>46193.5</v>
      </c>
      <c r="D42" s="5">
        <v>46477.5</v>
      </c>
      <c r="E42" s="2" t="s">
        <v>43</v>
      </c>
      <c r="F42" s="3">
        <v>89436.0</v>
      </c>
      <c r="G42" s="2" t="s">
        <v>241</v>
      </c>
      <c r="H42" s="2" t="s">
        <v>242</v>
      </c>
      <c r="I42" s="3">
        <v>9.6656E9</v>
      </c>
      <c r="J42" s="5">
        <v>46120.00082175926</v>
      </c>
      <c r="K42" s="2" t="s">
        <v>46</v>
      </c>
      <c r="L42" s="2" t="s">
        <v>243</v>
      </c>
      <c r="M42" s="2" t="s">
        <v>243</v>
      </c>
      <c r="N42" s="2" t="s">
        <v>244</v>
      </c>
      <c r="O42" s="2" t="s">
        <v>128</v>
      </c>
      <c r="P42" s="3">
        <v>38.0</v>
      </c>
      <c r="Q42" s="2" t="s">
        <v>234</v>
      </c>
      <c r="R42" s="2" t="s">
        <v>87</v>
      </c>
      <c r="S42" s="2" t="s">
        <v>208</v>
      </c>
      <c r="T42" s="2" t="s">
        <v>68</v>
      </c>
      <c r="U42" s="2" t="s">
        <v>55</v>
      </c>
      <c r="V42" s="2" t="s">
        <v>91</v>
      </c>
      <c r="W42" s="2" t="s">
        <v>115</v>
      </c>
      <c r="X42" s="3">
        <v>6.0</v>
      </c>
      <c r="Y42" s="2" t="s">
        <v>98</v>
      </c>
      <c r="Z42" s="3">
        <v>63.0</v>
      </c>
      <c r="AA42" s="3">
        <v>35.0</v>
      </c>
      <c r="AB42" s="3">
        <v>28.0</v>
      </c>
      <c r="AC42" s="3">
        <v>62.0</v>
      </c>
      <c r="AD42" s="3">
        <v>35.0</v>
      </c>
      <c r="AE42" s="3">
        <v>27.0</v>
      </c>
      <c r="AF42" s="3" t="s">
        <v>142</v>
      </c>
      <c r="AG42" s="3" t="s">
        <v>71</v>
      </c>
      <c r="AH42" s="3">
        <v>4.0</v>
      </c>
      <c r="AI42" s="3">
        <v>0.0</v>
      </c>
      <c r="AJ42" s="3">
        <v>4.0</v>
      </c>
      <c r="AK42" s="3">
        <v>0.0</v>
      </c>
      <c r="AL42" s="3">
        <v>0.0</v>
      </c>
      <c r="AM42" s="3">
        <v>4.0</v>
      </c>
      <c r="AN42" s="3">
        <v>75.0</v>
      </c>
      <c r="AO42" s="3">
        <v>93.75</v>
      </c>
    </row>
    <row r="43">
      <c r="A43" s="2" t="s">
        <v>41</v>
      </c>
      <c r="B43" s="3">
        <v>40097.0</v>
      </c>
      <c r="C43" s="3" t="s">
        <v>245</v>
      </c>
      <c r="D43" s="3" t="s">
        <v>42</v>
      </c>
      <c r="E43" s="2" t="s">
        <v>43</v>
      </c>
      <c r="F43" s="3">
        <v>65313.0</v>
      </c>
      <c r="G43" s="2" t="s">
        <v>246</v>
      </c>
      <c r="H43" s="2" t="s">
        <v>247</v>
      </c>
      <c r="I43" s="3">
        <v>9.830856824E9</v>
      </c>
      <c r="J43" s="5">
        <v>45096.87351851852</v>
      </c>
      <c r="K43" s="2" t="s">
        <v>46</v>
      </c>
      <c r="L43" s="2" t="s">
        <v>103</v>
      </c>
      <c r="M43" s="2" t="s">
        <v>65</v>
      </c>
      <c r="N43" s="2" t="s">
        <v>49</v>
      </c>
      <c r="O43" s="2" t="s">
        <v>161</v>
      </c>
      <c r="P43" s="3">
        <v>308.0</v>
      </c>
      <c r="Q43" s="2" t="s">
        <v>96</v>
      </c>
      <c r="R43" s="2" t="s">
        <v>65</v>
      </c>
      <c r="S43" s="2" t="s">
        <v>67</v>
      </c>
      <c r="T43" s="2" t="s">
        <v>68</v>
      </c>
      <c r="U43" s="2" t="s">
        <v>55</v>
      </c>
      <c r="V43" s="2" t="s">
        <v>69</v>
      </c>
      <c r="W43" s="2" t="s">
        <v>97</v>
      </c>
      <c r="X43" s="3">
        <v>5.0</v>
      </c>
      <c r="Y43" s="2" t="s">
        <v>58</v>
      </c>
      <c r="Z43" s="3">
        <v>105.0</v>
      </c>
      <c r="AA43" s="3">
        <v>54.0</v>
      </c>
      <c r="AB43" s="3">
        <v>51.0</v>
      </c>
      <c r="AC43" s="3">
        <v>104.0</v>
      </c>
      <c r="AD43" s="3">
        <v>54.0</v>
      </c>
      <c r="AE43" s="3">
        <v>50.0</v>
      </c>
      <c r="AF43" s="4">
        <v>46332.0</v>
      </c>
      <c r="AG43" s="3" t="s">
        <v>105</v>
      </c>
      <c r="AH43" s="3">
        <v>6.0</v>
      </c>
      <c r="AI43" s="3">
        <v>0.0</v>
      </c>
      <c r="AJ43" s="3">
        <v>6.0</v>
      </c>
      <c r="AK43" s="3">
        <v>0.0</v>
      </c>
      <c r="AL43" s="3">
        <v>0.0</v>
      </c>
      <c r="AM43" s="3">
        <v>6.0</v>
      </c>
      <c r="AN43" s="3">
        <v>94.0</v>
      </c>
      <c r="AO43" s="3">
        <v>78.33</v>
      </c>
    </row>
    <row r="44">
      <c r="A44" s="2" t="s">
        <v>41</v>
      </c>
      <c r="B44" s="3">
        <v>40457.0</v>
      </c>
      <c r="C44" s="5">
        <v>46193.5</v>
      </c>
      <c r="D44" s="5">
        <v>46477.5</v>
      </c>
      <c r="E44" s="2" t="s">
        <v>43</v>
      </c>
      <c r="F44" s="3">
        <v>88845.0</v>
      </c>
      <c r="G44" s="2" t="s">
        <v>248</v>
      </c>
      <c r="H44" s="2" t="s">
        <v>249</v>
      </c>
      <c r="I44" s="3">
        <v>9.444236121E9</v>
      </c>
      <c r="J44" s="5">
        <v>46078.58201388889</v>
      </c>
      <c r="K44" s="2" t="s">
        <v>46</v>
      </c>
      <c r="L44" s="2" t="s">
        <v>86</v>
      </c>
      <c r="M44" s="2" t="s">
        <v>87</v>
      </c>
      <c r="N44" s="2" t="s">
        <v>49</v>
      </c>
      <c r="O44" s="2" t="s">
        <v>216</v>
      </c>
      <c r="P44" s="3">
        <v>313.0</v>
      </c>
      <c r="Q44" s="2" t="s">
        <v>113</v>
      </c>
      <c r="R44" s="2" t="s">
        <v>87</v>
      </c>
      <c r="S44" s="2" t="s">
        <v>114</v>
      </c>
      <c r="T44" s="2" t="s">
        <v>68</v>
      </c>
      <c r="U44" s="2" t="s">
        <v>55</v>
      </c>
      <c r="V44" s="2" t="s">
        <v>91</v>
      </c>
      <c r="W44" s="2" t="s">
        <v>115</v>
      </c>
      <c r="X44" s="3">
        <v>7.0</v>
      </c>
      <c r="Y44" s="2" t="s">
        <v>58</v>
      </c>
      <c r="Z44" s="3">
        <v>28.0</v>
      </c>
      <c r="AA44" s="3">
        <v>7.0</v>
      </c>
      <c r="AB44" s="3">
        <v>21.0</v>
      </c>
      <c r="AC44" s="3">
        <v>18.0</v>
      </c>
      <c r="AD44" s="3">
        <v>4.0</v>
      </c>
      <c r="AE44" s="3">
        <v>14.0</v>
      </c>
      <c r="AF44" s="3" t="s">
        <v>105</v>
      </c>
      <c r="AG44" s="3" t="s">
        <v>71</v>
      </c>
      <c r="AH44" s="3">
        <v>2.0</v>
      </c>
      <c r="AI44" s="3">
        <v>0.0</v>
      </c>
      <c r="AJ44" s="3">
        <v>2.0</v>
      </c>
      <c r="AK44" s="3">
        <v>0.0</v>
      </c>
      <c r="AL44" s="3">
        <v>0.0</v>
      </c>
      <c r="AM44" s="3">
        <v>2.0</v>
      </c>
      <c r="AN44" s="3">
        <v>20.0</v>
      </c>
      <c r="AO44" s="3">
        <v>83.33</v>
      </c>
    </row>
    <row r="45">
      <c r="A45" s="2" t="s">
        <v>41</v>
      </c>
      <c r="B45" s="3">
        <v>40092.0</v>
      </c>
      <c r="C45" s="3" t="s">
        <v>151</v>
      </c>
      <c r="D45" s="3" t="s">
        <v>42</v>
      </c>
      <c r="E45" s="2" t="s">
        <v>43</v>
      </c>
      <c r="F45" s="3">
        <v>19148.0</v>
      </c>
      <c r="G45" s="2" t="s">
        <v>250</v>
      </c>
      <c r="H45" s="2" t="s">
        <v>251</v>
      </c>
      <c r="I45" s="3">
        <v>9.811688351E9</v>
      </c>
      <c r="J45" s="5">
        <v>42982.37525462963</v>
      </c>
      <c r="K45" s="2" t="s">
        <v>46</v>
      </c>
      <c r="L45" s="2" t="s">
        <v>252</v>
      </c>
      <c r="M45" s="2" t="s">
        <v>253</v>
      </c>
      <c r="N45" s="2" t="s">
        <v>254</v>
      </c>
      <c r="O45" s="2" t="s">
        <v>255</v>
      </c>
      <c r="P45" s="3">
        <v>1756.0</v>
      </c>
      <c r="Q45" s="2" t="s">
        <v>155</v>
      </c>
      <c r="R45" s="2" t="s">
        <v>65</v>
      </c>
      <c r="S45" s="2" t="s">
        <v>122</v>
      </c>
      <c r="T45" s="2" t="s">
        <v>68</v>
      </c>
      <c r="U45" s="2" t="s">
        <v>55</v>
      </c>
      <c r="V45" s="2" t="s">
        <v>69</v>
      </c>
      <c r="W45" s="2" t="s">
        <v>57</v>
      </c>
      <c r="X45" s="3">
        <v>6.0</v>
      </c>
      <c r="Y45" s="2" t="s">
        <v>70</v>
      </c>
      <c r="Z45" s="3">
        <v>23.0</v>
      </c>
      <c r="AA45" s="3">
        <v>15.0</v>
      </c>
      <c r="AB45" s="3">
        <v>8.0</v>
      </c>
      <c r="AC45" s="3">
        <v>14.0</v>
      </c>
      <c r="AD45" s="3">
        <v>6.0</v>
      </c>
      <c r="AE45" s="3">
        <v>8.0</v>
      </c>
      <c r="AF45" s="4">
        <v>46271.0</v>
      </c>
      <c r="AG45" s="3" t="s">
        <v>71</v>
      </c>
      <c r="AH45" s="3">
        <v>6.0</v>
      </c>
      <c r="AI45" s="3">
        <v>0.0</v>
      </c>
      <c r="AJ45" s="3">
        <v>3.0</v>
      </c>
      <c r="AK45" s="3">
        <v>3.0</v>
      </c>
      <c r="AL45" s="3">
        <v>0.0</v>
      </c>
      <c r="AM45" s="3">
        <v>6.0</v>
      </c>
      <c r="AN45" s="3">
        <v>24.0</v>
      </c>
      <c r="AO45" s="3">
        <v>50.0</v>
      </c>
    </row>
    <row r="46">
      <c r="A46" s="2" t="s">
        <v>41</v>
      </c>
      <c r="B46" s="3">
        <v>40062.0</v>
      </c>
      <c r="C46" s="3" t="s">
        <v>60</v>
      </c>
      <c r="D46" s="3" t="s">
        <v>42</v>
      </c>
      <c r="E46" s="2" t="s">
        <v>43</v>
      </c>
      <c r="F46" s="3">
        <v>74222.0</v>
      </c>
      <c r="G46" s="2" t="s">
        <v>256</v>
      </c>
      <c r="H46" s="2" t="s">
        <v>257</v>
      </c>
      <c r="I46" s="3">
        <v>8.777585667E9</v>
      </c>
      <c r="J46" s="5">
        <v>45488.89103009259</v>
      </c>
      <c r="K46" s="2" t="s">
        <v>46</v>
      </c>
      <c r="L46" s="2" t="s">
        <v>103</v>
      </c>
      <c r="M46" s="2" t="s">
        <v>65</v>
      </c>
      <c r="N46" s="2" t="s">
        <v>49</v>
      </c>
      <c r="O46" s="2" t="s">
        <v>128</v>
      </c>
      <c r="P46" s="3">
        <v>253.0</v>
      </c>
      <c r="Q46" s="2" t="s">
        <v>121</v>
      </c>
      <c r="R46" s="2" t="s">
        <v>65</v>
      </c>
      <c r="S46" s="2" t="s">
        <v>122</v>
      </c>
      <c r="T46" s="2" t="s">
        <v>81</v>
      </c>
      <c r="U46" s="2" t="s">
        <v>55</v>
      </c>
      <c r="V46" s="2" t="s">
        <v>69</v>
      </c>
      <c r="W46" s="2" t="s">
        <v>57</v>
      </c>
      <c r="X46" s="3">
        <v>7.0</v>
      </c>
      <c r="Y46" s="2" t="s">
        <v>70</v>
      </c>
      <c r="Z46" s="3">
        <v>64.0</v>
      </c>
      <c r="AA46" s="3">
        <v>31.0</v>
      </c>
      <c r="AB46" s="3">
        <v>33.0</v>
      </c>
      <c r="AC46" s="3">
        <v>62.0</v>
      </c>
      <c r="AD46" s="3">
        <v>31.0</v>
      </c>
      <c r="AE46" s="3">
        <v>31.0</v>
      </c>
      <c r="AF46" s="4">
        <v>46271.0</v>
      </c>
      <c r="AG46" s="3" t="s">
        <v>71</v>
      </c>
      <c r="AH46" s="3">
        <v>7.0</v>
      </c>
      <c r="AI46" s="3">
        <v>0.0</v>
      </c>
      <c r="AJ46" s="3">
        <v>5.0</v>
      </c>
      <c r="AK46" s="3">
        <v>2.0</v>
      </c>
      <c r="AL46" s="3">
        <v>0.0</v>
      </c>
      <c r="AM46" s="3">
        <v>7.0</v>
      </c>
      <c r="AN46" s="3">
        <v>104.0</v>
      </c>
      <c r="AO46" s="3">
        <v>55.03</v>
      </c>
    </row>
    <row r="47">
      <c r="A47" s="2" t="s">
        <v>41</v>
      </c>
      <c r="B47" s="3">
        <v>40260.0</v>
      </c>
      <c r="C47" s="3" t="s">
        <v>220</v>
      </c>
      <c r="D47" s="3" t="s">
        <v>42</v>
      </c>
      <c r="E47" s="2" t="s">
        <v>43</v>
      </c>
      <c r="F47" s="3">
        <v>89378.0</v>
      </c>
      <c r="G47" s="2" t="s">
        <v>258</v>
      </c>
      <c r="H47" s="2" t="s">
        <v>259</v>
      </c>
      <c r="I47" s="3">
        <v>6.001452446E9</v>
      </c>
      <c r="J47" s="5">
        <v>46116.53892361111</v>
      </c>
      <c r="K47" s="2" t="s">
        <v>46</v>
      </c>
      <c r="L47" s="2" t="s">
        <v>86</v>
      </c>
      <c r="M47" s="2" t="s">
        <v>87</v>
      </c>
      <c r="N47" s="2" t="s">
        <v>49</v>
      </c>
      <c r="O47" s="2" t="s">
        <v>50</v>
      </c>
      <c r="P47" s="3">
        <v>1984.0</v>
      </c>
      <c r="Q47" s="2" t="s">
        <v>51</v>
      </c>
      <c r="R47" s="2" t="s">
        <v>52</v>
      </c>
      <c r="S47" s="2" t="s">
        <v>53</v>
      </c>
      <c r="T47" s="2" t="s">
        <v>54</v>
      </c>
      <c r="U47" s="2" t="s">
        <v>55</v>
      </c>
      <c r="V47" s="2" t="s">
        <v>56</v>
      </c>
      <c r="W47" s="2" t="s">
        <v>57</v>
      </c>
      <c r="X47" s="3">
        <v>7.0</v>
      </c>
      <c r="Y47" s="2" t="s">
        <v>98</v>
      </c>
      <c r="Z47" s="3">
        <v>41.0</v>
      </c>
      <c r="AA47" s="3">
        <v>23.0</v>
      </c>
      <c r="AB47" s="3">
        <v>18.0</v>
      </c>
      <c r="AC47" s="3">
        <v>41.0</v>
      </c>
      <c r="AD47" s="3">
        <v>23.0</v>
      </c>
      <c r="AE47" s="3">
        <v>18.0</v>
      </c>
      <c r="AF47" s="4">
        <v>46118.0</v>
      </c>
      <c r="AG47" s="3" t="s">
        <v>99</v>
      </c>
      <c r="AH47" s="3">
        <v>8.0</v>
      </c>
      <c r="AI47" s="3">
        <v>0.0</v>
      </c>
      <c r="AJ47" s="3">
        <v>3.0</v>
      </c>
      <c r="AK47" s="3">
        <v>0.0</v>
      </c>
      <c r="AL47" s="3">
        <v>5.0</v>
      </c>
      <c r="AM47" s="3">
        <v>3.0</v>
      </c>
      <c r="AN47" s="3">
        <v>21.0</v>
      </c>
      <c r="AO47" s="3">
        <v>53.85</v>
      </c>
    </row>
    <row r="48">
      <c r="A48" s="2" t="s">
        <v>41</v>
      </c>
      <c r="B48" s="3">
        <v>40041.0</v>
      </c>
      <c r="C48" s="3" t="s">
        <v>60</v>
      </c>
      <c r="D48" s="3" t="s">
        <v>42</v>
      </c>
      <c r="E48" s="2" t="s">
        <v>43</v>
      </c>
      <c r="F48" s="3">
        <v>53011.0</v>
      </c>
      <c r="G48" s="2" t="s">
        <v>260</v>
      </c>
      <c r="H48" s="2" t="s">
        <v>261</v>
      </c>
      <c r="I48" s="3">
        <v>9.051028952E9</v>
      </c>
      <c r="J48" s="5">
        <v>44453.175474537034</v>
      </c>
      <c r="K48" s="2" t="s">
        <v>46</v>
      </c>
      <c r="L48" s="2" t="s">
        <v>262</v>
      </c>
      <c r="M48" s="2" t="s">
        <v>65</v>
      </c>
      <c r="N48" s="2" t="s">
        <v>49</v>
      </c>
      <c r="O48" s="2" t="s">
        <v>128</v>
      </c>
      <c r="P48" s="3">
        <v>95.0</v>
      </c>
      <c r="Q48" s="2" t="s">
        <v>66</v>
      </c>
      <c r="R48" s="2" t="s">
        <v>65</v>
      </c>
      <c r="S48" s="2" t="s">
        <v>67</v>
      </c>
      <c r="T48" s="2" t="s">
        <v>68</v>
      </c>
      <c r="U48" s="2" t="s">
        <v>55</v>
      </c>
      <c r="V48" s="2" t="s">
        <v>69</v>
      </c>
      <c r="W48" s="2" t="s">
        <v>97</v>
      </c>
      <c r="X48" s="3">
        <v>6.0</v>
      </c>
      <c r="Y48" s="2" t="s">
        <v>58</v>
      </c>
      <c r="Z48" s="3">
        <v>132.0</v>
      </c>
      <c r="AA48" s="3">
        <v>79.0</v>
      </c>
      <c r="AB48" s="3">
        <v>53.0</v>
      </c>
      <c r="AC48" s="3">
        <v>116.0</v>
      </c>
      <c r="AD48" s="3">
        <v>66.0</v>
      </c>
      <c r="AE48" s="3">
        <v>50.0</v>
      </c>
      <c r="AF48" s="4">
        <v>46301.0</v>
      </c>
      <c r="AG48" s="3" t="s">
        <v>105</v>
      </c>
      <c r="AH48" s="3">
        <v>6.0</v>
      </c>
      <c r="AI48" s="3">
        <v>0.0</v>
      </c>
      <c r="AJ48" s="3">
        <v>0.0</v>
      </c>
      <c r="AK48" s="3">
        <v>6.0</v>
      </c>
      <c r="AL48" s="3">
        <v>0.0</v>
      </c>
      <c r="AM48" s="3">
        <v>6.0</v>
      </c>
      <c r="AN48" s="3">
        <v>205.0</v>
      </c>
      <c r="AO48" s="3">
        <v>75.93</v>
      </c>
    </row>
    <row r="49">
      <c r="A49" s="2" t="s">
        <v>41</v>
      </c>
      <c r="B49" s="3">
        <v>40432.0</v>
      </c>
      <c r="C49" s="3" t="s">
        <v>263</v>
      </c>
      <c r="D49" s="3" t="s">
        <v>72</v>
      </c>
      <c r="E49" s="2" t="s">
        <v>43</v>
      </c>
      <c r="F49" s="3">
        <v>59903.0</v>
      </c>
      <c r="G49" s="2" t="s">
        <v>264</v>
      </c>
      <c r="H49" s="2" t="s">
        <v>265</v>
      </c>
      <c r="I49" s="3">
        <v>6.392086082E9</v>
      </c>
      <c r="J49" s="5">
        <v>44811.35487268519</v>
      </c>
      <c r="K49" s="2" t="s">
        <v>266</v>
      </c>
      <c r="L49" s="2" t="s">
        <v>47</v>
      </c>
      <c r="M49" s="2" t="s">
        <v>48</v>
      </c>
      <c r="N49" s="2" t="s">
        <v>49</v>
      </c>
      <c r="O49" s="6"/>
      <c r="P49" s="3">
        <v>1324.0</v>
      </c>
      <c r="Q49" s="2" t="s">
        <v>267</v>
      </c>
      <c r="R49" s="2" t="s">
        <v>48</v>
      </c>
      <c r="T49" s="2" t="s">
        <v>266</v>
      </c>
      <c r="U49" s="2" t="s">
        <v>55</v>
      </c>
      <c r="V49" s="2" t="s">
        <v>268</v>
      </c>
      <c r="W49" s="2" t="s">
        <v>269</v>
      </c>
      <c r="X49" s="3">
        <v>6.0</v>
      </c>
      <c r="Y49" s="2" t="s">
        <v>98</v>
      </c>
      <c r="Z49" s="3">
        <v>65.0</v>
      </c>
      <c r="AA49" s="3">
        <v>28.0</v>
      </c>
      <c r="AB49" s="3">
        <v>37.0</v>
      </c>
      <c r="AC49" s="3">
        <v>49.0</v>
      </c>
      <c r="AD49" s="3">
        <v>23.0</v>
      </c>
      <c r="AE49" s="3">
        <v>26.0</v>
      </c>
      <c r="AF49" s="3" t="s">
        <v>270</v>
      </c>
      <c r="AG49" s="3" t="s">
        <v>99</v>
      </c>
      <c r="AH49" s="3">
        <v>2.0</v>
      </c>
      <c r="AI49" s="3">
        <v>0.0</v>
      </c>
      <c r="AJ49" s="3">
        <v>2.0</v>
      </c>
      <c r="AK49" s="3">
        <v>0.0</v>
      </c>
      <c r="AL49" s="3">
        <v>0.0</v>
      </c>
      <c r="AM49" s="3">
        <v>2.0</v>
      </c>
      <c r="AN49" s="3">
        <v>3.0</v>
      </c>
      <c r="AO49" s="3">
        <v>5.56</v>
      </c>
    </row>
    <row r="50">
      <c r="A50" s="2" t="s">
        <v>41</v>
      </c>
      <c r="B50" s="3">
        <v>40430.0</v>
      </c>
      <c r="C50" s="3" t="s">
        <v>263</v>
      </c>
      <c r="D50" s="3" t="s">
        <v>72</v>
      </c>
      <c r="E50" s="2" t="s">
        <v>43</v>
      </c>
      <c r="F50" s="3">
        <v>59903.0</v>
      </c>
      <c r="G50" s="2" t="s">
        <v>264</v>
      </c>
      <c r="H50" s="2" t="s">
        <v>265</v>
      </c>
      <c r="I50" s="3">
        <v>6.392086082E9</v>
      </c>
      <c r="J50" s="5">
        <v>44811.35487268519</v>
      </c>
      <c r="K50" s="2" t="s">
        <v>266</v>
      </c>
      <c r="L50" s="2" t="s">
        <v>47</v>
      </c>
      <c r="M50" s="2" t="s">
        <v>48</v>
      </c>
      <c r="N50" s="2" t="s">
        <v>49</v>
      </c>
      <c r="O50" s="6"/>
      <c r="P50" s="3">
        <v>1324.0</v>
      </c>
      <c r="Q50" s="2" t="s">
        <v>267</v>
      </c>
      <c r="R50" s="2" t="s">
        <v>48</v>
      </c>
      <c r="T50" s="2" t="s">
        <v>266</v>
      </c>
      <c r="U50" s="2" t="s">
        <v>55</v>
      </c>
      <c r="V50" s="2" t="s">
        <v>268</v>
      </c>
      <c r="W50" s="2" t="s">
        <v>269</v>
      </c>
      <c r="X50" s="3">
        <v>6.0</v>
      </c>
      <c r="Y50" s="2" t="s">
        <v>58</v>
      </c>
      <c r="Z50" s="3">
        <v>65.0</v>
      </c>
      <c r="AA50" s="3">
        <v>28.0</v>
      </c>
      <c r="AB50" s="3">
        <v>37.0</v>
      </c>
      <c r="AC50" s="3">
        <v>49.0</v>
      </c>
      <c r="AD50" s="3">
        <v>23.0</v>
      </c>
      <c r="AE50" s="3">
        <v>26.0</v>
      </c>
      <c r="AF50" s="3" t="s">
        <v>105</v>
      </c>
      <c r="AG50" s="3" t="s">
        <v>71</v>
      </c>
      <c r="AH50" s="3">
        <v>2.0</v>
      </c>
      <c r="AI50" s="3">
        <v>0.0</v>
      </c>
      <c r="AJ50" s="3">
        <v>2.0</v>
      </c>
      <c r="AK50" s="3">
        <v>0.0</v>
      </c>
      <c r="AL50" s="3">
        <v>0.0</v>
      </c>
      <c r="AM50" s="3">
        <v>2.0</v>
      </c>
      <c r="AN50" s="3">
        <v>3.0</v>
      </c>
      <c r="AO50" s="3">
        <v>5.56</v>
      </c>
    </row>
    <row r="51">
      <c r="A51" s="2" t="s">
        <v>41</v>
      </c>
      <c r="B51" s="3">
        <v>40433.0</v>
      </c>
      <c r="C51" s="3" t="s">
        <v>263</v>
      </c>
      <c r="D51" s="3" t="s">
        <v>72</v>
      </c>
      <c r="E51" s="2" t="s">
        <v>43</v>
      </c>
      <c r="F51" s="3">
        <v>59903.0</v>
      </c>
      <c r="G51" s="2" t="s">
        <v>264</v>
      </c>
      <c r="H51" s="2" t="s">
        <v>265</v>
      </c>
      <c r="I51" s="3">
        <v>6.392086082E9</v>
      </c>
      <c r="J51" s="5">
        <v>44811.35487268519</v>
      </c>
      <c r="K51" s="2" t="s">
        <v>266</v>
      </c>
      <c r="L51" s="2" t="s">
        <v>47</v>
      </c>
      <c r="M51" s="2" t="s">
        <v>48</v>
      </c>
      <c r="N51" s="2" t="s">
        <v>49</v>
      </c>
      <c r="O51" s="6"/>
      <c r="P51" s="3">
        <v>1324.0</v>
      </c>
      <c r="Q51" s="2" t="s">
        <v>267</v>
      </c>
      <c r="R51" s="2" t="s">
        <v>48</v>
      </c>
      <c r="T51" s="2" t="s">
        <v>266</v>
      </c>
      <c r="U51" s="2" t="s">
        <v>55</v>
      </c>
      <c r="V51" s="2" t="s">
        <v>268</v>
      </c>
      <c r="W51" s="2" t="s">
        <v>57</v>
      </c>
      <c r="X51" s="3">
        <v>7.0</v>
      </c>
      <c r="Y51" s="2" t="s">
        <v>70</v>
      </c>
      <c r="Z51" s="3">
        <v>65.0</v>
      </c>
      <c r="AA51" s="3">
        <v>28.0</v>
      </c>
      <c r="AB51" s="3">
        <v>37.0</v>
      </c>
      <c r="AC51" s="3">
        <v>49.0</v>
      </c>
      <c r="AD51" s="3">
        <v>23.0</v>
      </c>
      <c r="AE51" s="3">
        <v>26.0</v>
      </c>
      <c r="AF51" s="3" t="s">
        <v>105</v>
      </c>
      <c r="AG51" s="3" t="s">
        <v>71</v>
      </c>
      <c r="AH51" s="3">
        <v>2.0</v>
      </c>
      <c r="AI51" s="3">
        <v>0.0</v>
      </c>
      <c r="AJ51" s="3">
        <v>2.0</v>
      </c>
      <c r="AK51" s="3">
        <v>0.0</v>
      </c>
      <c r="AL51" s="3">
        <v>0.0</v>
      </c>
      <c r="AM51" s="3">
        <v>2.0</v>
      </c>
      <c r="AN51" s="3">
        <v>2.0</v>
      </c>
      <c r="AO51" s="3">
        <v>25.0</v>
      </c>
    </row>
    <row r="52">
      <c r="A52" s="2" t="s">
        <v>41</v>
      </c>
      <c r="B52" s="3">
        <v>40435.0</v>
      </c>
      <c r="C52" s="3" t="s">
        <v>263</v>
      </c>
      <c r="D52" s="3" t="s">
        <v>72</v>
      </c>
      <c r="E52" s="2" t="s">
        <v>43</v>
      </c>
      <c r="F52" s="3">
        <v>59903.0</v>
      </c>
      <c r="G52" s="2" t="s">
        <v>264</v>
      </c>
      <c r="H52" s="2" t="s">
        <v>265</v>
      </c>
      <c r="I52" s="3">
        <v>6.392086082E9</v>
      </c>
      <c r="J52" s="5">
        <v>44811.35487268519</v>
      </c>
      <c r="K52" s="2" t="s">
        <v>266</v>
      </c>
      <c r="L52" s="2" t="s">
        <v>47</v>
      </c>
      <c r="M52" s="2" t="s">
        <v>48</v>
      </c>
      <c r="N52" s="2" t="s">
        <v>49</v>
      </c>
      <c r="O52" s="6"/>
      <c r="P52" s="3">
        <v>1324.0</v>
      </c>
      <c r="Q52" s="2" t="s">
        <v>267</v>
      </c>
      <c r="R52" s="2" t="s">
        <v>48</v>
      </c>
      <c r="T52" s="2" t="s">
        <v>266</v>
      </c>
      <c r="U52" s="2" t="s">
        <v>55</v>
      </c>
      <c r="V52" s="2" t="s">
        <v>268</v>
      </c>
      <c r="W52" s="2" t="s">
        <v>269</v>
      </c>
      <c r="X52" s="3">
        <v>7.0</v>
      </c>
      <c r="Y52" s="2" t="s">
        <v>98</v>
      </c>
      <c r="Z52" s="3">
        <v>65.0</v>
      </c>
      <c r="AA52" s="3">
        <v>28.0</v>
      </c>
      <c r="AB52" s="3">
        <v>37.0</v>
      </c>
      <c r="AC52" s="3">
        <v>49.0</v>
      </c>
      <c r="AD52" s="3">
        <v>23.0</v>
      </c>
      <c r="AE52" s="3">
        <v>26.0</v>
      </c>
      <c r="AF52" s="3" t="s">
        <v>270</v>
      </c>
      <c r="AG52" s="3" t="s">
        <v>99</v>
      </c>
      <c r="AH52" s="3">
        <v>2.0</v>
      </c>
      <c r="AI52" s="3">
        <v>0.0</v>
      </c>
      <c r="AJ52" s="3">
        <v>2.0</v>
      </c>
      <c r="AK52" s="3">
        <v>0.0</v>
      </c>
      <c r="AL52" s="3">
        <v>0.0</v>
      </c>
      <c r="AM52" s="3">
        <v>2.0</v>
      </c>
      <c r="AN52" s="3">
        <v>2.0</v>
      </c>
      <c r="AO52" s="3">
        <v>25.0</v>
      </c>
    </row>
    <row r="53">
      <c r="A53" s="2" t="s">
        <v>41</v>
      </c>
      <c r="B53" s="3">
        <v>40550.0</v>
      </c>
      <c r="C53" s="5">
        <v>46202.5</v>
      </c>
      <c r="D53" s="5">
        <v>46477.5</v>
      </c>
      <c r="E53" s="2" t="s">
        <v>43</v>
      </c>
      <c r="F53" s="3">
        <v>59903.0</v>
      </c>
      <c r="G53" s="2" t="s">
        <v>264</v>
      </c>
      <c r="H53" s="2" t="s">
        <v>265</v>
      </c>
      <c r="I53" s="3">
        <v>6.392086082E9</v>
      </c>
      <c r="J53" s="5">
        <v>44811.35487268519</v>
      </c>
      <c r="K53" s="2" t="s">
        <v>266</v>
      </c>
      <c r="L53" s="2" t="s">
        <v>47</v>
      </c>
      <c r="M53" s="2" t="s">
        <v>48</v>
      </c>
      <c r="N53" s="2" t="s">
        <v>49</v>
      </c>
      <c r="O53" s="6"/>
      <c r="P53" s="3">
        <v>1324.0</v>
      </c>
      <c r="Q53" s="2" t="s">
        <v>267</v>
      </c>
      <c r="R53" s="2" t="s">
        <v>48</v>
      </c>
      <c r="T53" s="2" t="s">
        <v>266</v>
      </c>
      <c r="U53" s="2" t="s">
        <v>55</v>
      </c>
      <c r="V53" s="2" t="s">
        <v>268</v>
      </c>
      <c r="W53" s="2" t="s">
        <v>269</v>
      </c>
      <c r="X53" s="3">
        <v>8.0</v>
      </c>
      <c r="Y53" s="2" t="s">
        <v>98</v>
      </c>
      <c r="Z53" s="3">
        <v>65.0</v>
      </c>
      <c r="AA53" s="3">
        <v>28.0</v>
      </c>
      <c r="AB53" s="3">
        <v>37.0</v>
      </c>
      <c r="AC53" s="3">
        <v>49.0</v>
      </c>
      <c r="AD53" s="3">
        <v>23.0</v>
      </c>
      <c r="AE53" s="3">
        <v>26.0</v>
      </c>
      <c r="AF53" s="3" t="s">
        <v>270</v>
      </c>
      <c r="AG53" s="3" t="s">
        <v>99</v>
      </c>
      <c r="AH53" s="3">
        <v>2.0</v>
      </c>
      <c r="AI53" s="3">
        <v>0.0</v>
      </c>
      <c r="AJ53" s="3">
        <v>2.0</v>
      </c>
      <c r="AK53" s="3">
        <v>0.0</v>
      </c>
      <c r="AL53" s="3">
        <v>0.0</v>
      </c>
      <c r="AM53" s="3">
        <v>2.0</v>
      </c>
      <c r="AN53" s="3">
        <v>5.0</v>
      </c>
      <c r="AO53" s="3">
        <v>13.89</v>
      </c>
    </row>
    <row r="54">
      <c r="A54" s="2" t="s">
        <v>41</v>
      </c>
      <c r="B54" s="3">
        <v>40548.0</v>
      </c>
      <c r="C54" s="5">
        <v>46202.5</v>
      </c>
      <c r="D54" s="5">
        <v>46477.5</v>
      </c>
      <c r="E54" s="2" t="s">
        <v>43</v>
      </c>
      <c r="F54" s="3">
        <v>59903.0</v>
      </c>
      <c r="G54" s="2" t="s">
        <v>264</v>
      </c>
      <c r="H54" s="2" t="s">
        <v>265</v>
      </c>
      <c r="I54" s="3">
        <v>6.392086082E9</v>
      </c>
      <c r="J54" s="5">
        <v>44811.35487268519</v>
      </c>
      <c r="K54" s="2" t="s">
        <v>266</v>
      </c>
      <c r="L54" s="2" t="s">
        <v>47</v>
      </c>
      <c r="M54" s="2" t="s">
        <v>48</v>
      </c>
      <c r="N54" s="2" t="s">
        <v>49</v>
      </c>
      <c r="O54" s="6"/>
      <c r="P54" s="3">
        <v>1324.0</v>
      </c>
      <c r="Q54" s="2" t="s">
        <v>267</v>
      </c>
      <c r="R54" s="2" t="s">
        <v>48</v>
      </c>
      <c r="T54" s="2" t="s">
        <v>266</v>
      </c>
      <c r="U54" s="2" t="s">
        <v>55</v>
      </c>
      <c r="V54" s="2" t="s">
        <v>268</v>
      </c>
      <c r="W54" s="2" t="s">
        <v>57</v>
      </c>
      <c r="X54" s="3">
        <v>8.0</v>
      </c>
      <c r="Y54" s="2" t="s">
        <v>70</v>
      </c>
      <c r="Z54" s="3">
        <v>65.0</v>
      </c>
      <c r="AA54" s="3">
        <v>28.0</v>
      </c>
      <c r="AB54" s="3">
        <v>37.0</v>
      </c>
      <c r="AC54" s="3">
        <v>49.0</v>
      </c>
      <c r="AD54" s="3">
        <v>23.0</v>
      </c>
      <c r="AE54" s="3">
        <v>26.0</v>
      </c>
      <c r="AF54" s="3" t="s">
        <v>105</v>
      </c>
      <c r="AG54" s="3" t="s">
        <v>71</v>
      </c>
      <c r="AH54" s="3">
        <v>2.0</v>
      </c>
      <c r="AI54" s="3">
        <v>0.0</v>
      </c>
      <c r="AJ54" s="3">
        <v>2.0</v>
      </c>
      <c r="AK54" s="3">
        <v>0.0</v>
      </c>
      <c r="AL54" s="3">
        <v>0.0</v>
      </c>
      <c r="AM54" s="3">
        <v>2.0</v>
      </c>
      <c r="AN54" s="3">
        <v>5.0</v>
      </c>
      <c r="AO54" s="3">
        <v>13.89</v>
      </c>
    </row>
    <row r="55">
      <c r="A55" s="2" t="s">
        <v>41</v>
      </c>
      <c r="B55" s="3">
        <v>40456.0</v>
      </c>
      <c r="C55" s="5">
        <v>46193.5</v>
      </c>
      <c r="D55" s="5">
        <v>46477.5</v>
      </c>
      <c r="E55" s="2" t="s">
        <v>43</v>
      </c>
      <c r="F55" s="3">
        <v>89790.0</v>
      </c>
      <c r="G55" s="2" t="s">
        <v>271</v>
      </c>
      <c r="H55" s="2" t="s">
        <v>272</v>
      </c>
      <c r="I55" s="3">
        <v>9.008102362E9</v>
      </c>
      <c r="J55" s="5">
        <v>46134.56858796296</v>
      </c>
      <c r="K55" s="2" t="s">
        <v>63</v>
      </c>
      <c r="L55" s="2" t="s">
        <v>86</v>
      </c>
      <c r="M55" s="2" t="s">
        <v>87</v>
      </c>
      <c r="N55" s="2" t="s">
        <v>49</v>
      </c>
      <c r="O55" s="2" t="s">
        <v>50</v>
      </c>
      <c r="P55" s="3">
        <v>313.0</v>
      </c>
      <c r="Q55" s="2" t="s">
        <v>113</v>
      </c>
      <c r="R55" s="2" t="s">
        <v>87</v>
      </c>
      <c r="S55" s="2" t="s">
        <v>114</v>
      </c>
      <c r="T55" s="2" t="s">
        <v>68</v>
      </c>
      <c r="U55" s="2" t="s">
        <v>55</v>
      </c>
      <c r="V55" s="2" t="s">
        <v>91</v>
      </c>
      <c r="W55" s="2" t="s">
        <v>115</v>
      </c>
      <c r="X55" s="3">
        <v>6.0</v>
      </c>
      <c r="Y55" s="2" t="s">
        <v>98</v>
      </c>
      <c r="Z55" s="3">
        <v>28.0</v>
      </c>
      <c r="AA55" s="3">
        <v>7.0</v>
      </c>
      <c r="AB55" s="3">
        <v>21.0</v>
      </c>
      <c r="AC55" s="3">
        <v>18.0</v>
      </c>
      <c r="AD55" s="3">
        <v>4.0</v>
      </c>
      <c r="AE55" s="3">
        <v>14.0</v>
      </c>
      <c r="AF55" s="3" t="s">
        <v>59</v>
      </c>
      <c r="AG55" s="3" t="s">
        <v>59</v>
      </c>
      <c r="AH55" s="3">
        <v>1.0</v>
      </c>
      <c r="AI55" s="3">
        <v>0.0</v>
      </c>
      <c r="AJ55" s="3">
        <v>1.0</v>
      </c>
      <c r="AK55" s="3">
        <v>0.0</v>
      </c>
      <c r="AL55" s="3">
        <v>0.0</v>
      </c>
      <c r="AM55" s="3">
        <v>1.0</v>
      </c>
      <c r="AN55" s="3">
        <v>4.0</v>
      </c>
      <c r="AO55" s="3">
        <v>80.0</v>
      </c>
    </row>
    <row r="56">
      <c r="A56" s="2" t="s">
        <v>41</v>
      </c>
      <c r="B56" s="3">
        <v>40048.0</v>
      </c>
      <c r="C56" s="3" t="s">
        <v>60</v>
      </c>
      <c r="D56" s="3" t="s">
        <v>42</v>
      </c>
      <c r="E56" s="2" t="s">
        <v>43</v>
      </c>
      <c r="F56" s="3">
        <v>84954.0</v>
      </c>
      <c r="G56" s="2" t="s">
        <v>273</v>
      </c>
      <c r="H56" s="2" t="s">
        <v>274</v>
      </c>
      <c r="I56" s="3">
        <v>7.890666174E9</v>
      </c>
      <c r="J56" s="5">
        <v>45888.62732638889</v>
      </c>
      <c r="K56" s="2" t="s">
        <v>275</v>
      </c>
      <c r="L56" s="2" t="s">
        <v>103</v>
      </c>
      <c r="M56" s="2" t="s">
        <v>65</v>
      </c>
      <c r="N56" s="2" t="s">
        <v>49</v>
      </c>
      <c r="O56" s="2" t="s">
        <v>50</v>
      </c>
      <c r="P56" s="3">
        <v>226.0</v>
      </c>
      <c r="Q56" s="2" t="s">
        <v>231</v>
      </c>
      <c r="R56" s="2" t="s">
        <v>65</v>
      </c>
      <c r="S56" s="2" t="s">
        <v>67</v>
      </c>
      <c r="T56" s="2" t="s">
        <v>68</v>
      </c>
      <c r="U56" s="2" t="s">
        <v>55</v>
      </c>
      <c r="V56" s="2" t="s">
        <v>69</v>
      </c>
      <c r="W56" s="2" t="s">
        <v>97</v>
      </c>
      <c r="X56" s="3">
        <v>7.0</v>
      </c>
      <c r="Y56" s="2" t="s">
        <v>58</v>
      </c>
      <c r="Z56" s="3">
        <v>81.0</v>
      </c>
      <c r="AA56" s="3">
        <v>34.0</v>
      </c>
      <c r="AB56" s="3">
        <v>47.0</v>
      </c>
      <c r="AC56" s="3">
        <v>81.0</v>
      </c>
      <c r="AD56" s="3">
        <v>34.0</v>
      </c>
      <c r="AE56" s="3">
        <v>47.0</v>
      </c>
      <c r="AF56" s="4">
        <v>46332.0</v>
      </c>
      <c r="AG56" s="3" t="s">
        <v>105</v>
      </c>
      <c r="AH56" s="3">
        <v>6.0</v>
      </c>
      <c r="AI56" s="3">
        <v>0.0</v>
      </c>
      <c r="AJ56" s="3">
        <v>6.0</v>
      </c>
      <c r="AK56" s="3">
        <v>0.0</v>
      </c>
      <c r="AL56" s="3">
        <v>0.0</v>
      </c>
      <c r="AM56" s="3">
        <v>6.0</v>
      </c>
      <c r="AN56" s="3">
        <v>90.0</v>
      </c>
      <c r="AO56" s="3">
        <v>71.43</v>
      </c>
    </row>
    <row r="57">
      <c r="A57" s="2" t="s">
        <v>41</v>
      </c>
      <c r="B57" s="3">
        <v>40056.0</v>
      </c>
      <c r="C57" s="3" t="s">
        <v>60</v>
      </c>
      <c r="D57" s="3" t="s">
        <v>42</v>
      </c>
      <c r="E57" s="2" t="s">
        <v>43</v>
      </c>
      <c r="F57" s="3">
        <v>55526.0</v>
      </c>
      <c r="G57" s="2" t="s">
        <v>276</v>
      </c>
      <c r="H57" s="2" t="s">
        <v>277</v>
      </c>
      <c r="I57" s="3">
        <v>8.42057547E9</v>
      </c>
      <c r="J57" s="5">
        <v>44572.35542824074</v>
      </c>
      <c r="K57" s="2" t="s">
        <v>46</v>
      </c>
      <c r="L57" s="2" t="s">
        <v>103</v>
      </c>
      <c r="M57" s="2" t="s">
        <v>65</v>
      </c>
      <c r="N57" s="2" t="s">
        <v>49</v>
      </c>
      <c r="O57" s="2" t="s">
        <v>216</v>
      </c>
      <c r="P57" s="3">
        <v>308.0</v>
      </c>
      <c r="Q57" s="2" t="s">
        <v>96</v>
      </c>
      <c r="R57" s="2" t="s">
        <v>65</v>
      </c>
      <c r="S57" s="2" t="s">
        <v>67</v>
      </c>
      <c r="T57" s="2" t="s">
        <v>68</v>
      </c>
      <c r="U57" s="2" t="s">
        <v>55</v>
      </c>
      <c r="V57" s="2" t="s">
        <v>69</v>
      </c>
      <c r="W57" s="2" t="s">
        <v>97</v>
      </c>
      <c r="X57" s="3">
        <v>8.0</v>
      </c>
      <c r="Y57" s="2" t="s">
        <v>58</v>
      </c>
      <c r="Z57" s="3">
        <v>105.0</v>
      </c>
      <c r="AA57" s="3">
        <v>54.0</v>
      </c>
      <c r="AB57" s="3">
        <v>51.0</v>
      </c>
      <c r="AC57" s="3">
        <v>104.0</v>
      </c>
      <c r="AD57" s="3">
        <v>54.0</v>
      </c>
      <c r="AE57" s="3">
        <v>50.0</v>
      </c>
      <c r="AF57" s="4">
        <v>46271.0</v>
      </c>
      <c r="AG57" s="3" t="s">
        <v>71</v>
      </c>
      <c r="AH57" s="3">
        <v>7.0</v>
      </c>
      <c r="AI57" s="3">
        <v>0.0</v>
      </c>
      <c r="AJ57" s="3">
        <v>5.0</v>
      </c>
      <c r="AK57" s="3">
        <v>2.0</v>
      </c>
      <c r="AL57" s="3">
        <v>0.0</v>
      </c>
      <c r="AM57" s="3">
        <v>7.0</v>
      </c>
      <c r="AN57" s="3">
        <v>177.0</v>
      </c>
      <c r="AO57" s="3">
        <v>76.62</v>
      </c>
    </row>
    <row r="58">
      <c r="A58" s="2" t="s">
        <v>41</v>
      </c>
      <c r="B58" s="3">
        <v>40258.0</v>
      </c>
      <c r="C58" s="3" t="s">
        <v>220</v>
      </c>
      <c r="D58" s="3" t="s">
        <v>42</v>
      </c>
      <c r="E58" s="2" t="s">
        <v>43</v>
      </c>
      <c r="F58" s="3">
        <v>89198.0</v>
      </c>
      <c r="G58" s="2" t="s">
        <v>278</v>
      </c>
      <c r="H58" s="2" t="s">
        <v>279</v>
      </c>
      <c r="I58" s="3">
        <v>8.979721557E9</v>
      </c>
      <c r="J58" s="5">
        <v>46104.5053125</v>
      </c>
      <c r="K58" s="2" t="s">
        <v>46</v>
      </c>
      <c r="L58" s="2" t="s">
        <v>280</v>
      </c>
      <c r="M58" s="2" t="s">
        <v>79</v>
      </c>
      <c r="N58" s="2" t="s">
        <v>49</v>
      </c>
      <c r="O58" s="2" t="s">
        <v>88</v>
      </c>
      <c r="P58" s="3">
        <v>1984.0</v>
      </c>
      <c r="Q58" s="2" t="s">
        <v>51</v>
      </c>
      <c r="R58" s="2" t="s">
        <v>52</v>
      </c>
      <c r="S58" s="2" t="s">
        <v>53</v>
      </c>
      <c r="T58" s="2" t="s">
        <v>54</v>
      </c>
      <c r="U58" s="2" t="s">
        <v>55</v>
      </c>
      <c r="V58" s="2" t="s">
        <v>56</v>
      </c>
      <c r="W58" s="2" t="s">
        <v>57</v>
      </c>
      <c r="X58" s="3">
        <v>5.0</v>
      </c>
      <c r="Y58" s="2" t="s">
        <v>98</v>
      </c>
      <c r="Z58" s="3">
        <v>41.0</v>
      </c>
      <c r="AA58" s="3">
        <v>23.0</v>
      </c>
      <c r="AB58" s="3">
        <v>18.0</v>
      </c>
      <c r="AC58" s="3">
        <v>41.0</v>
      </c>
      <c r="AD58" s="3">
        <v>23.0</v>
      </c>
      <c r="AE58" s="3">
        <v>18.0</v>
      </c>
      <c r="AF58" s="4">
        <v>46028.0</v>
      </c>
      <c r="AG58" s="3" t="s">
        <v>99</v>
      </c>
      <c r="AH58" s="3">
        <v>8.0</v>
      </c>
      <c r="AI58" s="3">
        <v>0.0</v>
      </c>
      <c r="AJ58" s="3">
        <v>5.0</v>
      </c>
      <c r="AK58" s="3">
        <v>0.0</v>
      </c>
      <c r="AL58" s="3">
        <v>3.0</v>
      </c>
      <c r="AM58" s="3">
        <v>5.0</v>
      </c>
      <c r="AN58" s="3">
        <v>26.0</v>
      </c>
      <c r="AO58" s="3">
        <v>86.67</v>
      </c>
    </row>
    <row r="59">
      <c r="A59" s="2" t="s">
        <v>41</v>
      </c>
      <c r="B59" s="3">
        <v>40544.0</v>
      </c>
      <c r="C59" s="5">
        <v>46200.5</v>
      </c>
      <c r="D59" s="5">
        <v>46477.5</v>
      </c>
      <c r="E59" s="2" t="s">
        <v>43</v>
      </c>
      <c r="F59" s="3">
        <v>81518.0</v>
      </c>
      <c r="G59" s="2" t="s">
        <v>281</v>
      </c>
      <c r="H59" s="2" t="s">
        <v>282</v>
      </c>
      <c r="I59" s="3">
        <v>9.611059595E9</v>
      </c>
      <c r="J59" s="5">
        <v>45803.85236111111</v>
      </c>
      <c r="K59" s="2" t="s">
        <v>46</v>
      </c>
      <c r="L59" s="2" t="s">
        <v>86</v>
      </c>
      <c r="M59" s="2" t="s">
        <v>87</v>
      </c>
      <c r="N59" s="2" t="s">
        <v>49</v>
      </c>
      <c r="O59" s="2" t="s">
        <v>50</v>
      </c>
      <c r="P59" s="3">
        <v>162.0</v>
      </c>
      <c r="Q59" s="2" t="s">
        <v>283</v>
      </c>
      <c r="R59" s="2" t="s">
        <v>87</v>
      </c>
      <c r="S59" s="2" t="s">
        <v>208</v>
      </c>
      <c r="T59" s="2" t="s">
        <v>150</v>
      </c>
      <c r="U59" s="2" t="s">
        <v>55</v>
      </c>
      <c r="V59" s="2" t="s">
        <v>91</v>
      </c>
      <c r="W59" s="2" t="s">
        <v>57</v>
      </c>
      <c r="X59" s="3">
        <v>5.0</v>
      </c>
      <c r="Y59" s="2" t="s">
        <v>70</v>
      </c>
      <c r="Z59" s="3">
        <v>117.0</v>
      </c>
      <c r="AA59" s="3">
        <v>58.0</v>
      </c>
      <c r="AB59" s="3">
        <v>59.0</v>
      </c>
      <c r="AC59" s="3">
        <v>117.0</v>
      </c>
      <c r="AD59" s="3">
        <v>58.0</v>
      </c>
      <c r="AE59" s="3">
        <v>59.0</v>
      </c>
      <c r="AF59" s="3" t="s">
        <v>105</v>
      </c>
      <c r="AG59" s="3" t="s">
        <v>105</v>
      </c>
      <c r="AH59" s="3">
        <v>1.0</v>
      </c>
      <c r="AI59" s="3">
        <v>0.0</v>
      </c>
      <c r="AJ59" s="3">
        <v>1.0</v>
      </c>
      <c r="AK59" s="3">
        <v>0.0</v>
      </c>
      <c r="AL59" s="3">
        <v>0.0</v>
      </c>
      <c r="AM59" s="3">
        <v>1.0</v>
      </c>
      <c r="AN59" s="3">
        <v>16.0</v>
      </c>
      <c r="AO59" s="3">
        <v>84.21</v>
      </c>
    </row>
    <row r="60">
      <c r="A60" s="2" t="s">
        <v>41</v>
      </c>
      <c r="B60" s="3">
        <v>40527.0</v>
      </c>
      <c r="C60" s="5">
        <v>46198.5</v>
      </c>
      <c r="D60" s="5">
        <v>46477.5</v>
      </c>
      <c r="E60" s="2" t="s">
        <v>43</v>
      </c>
      <c r="F60" s="3">
        <v>82100.0</v>
      </c>
      <c r="G60" s="2" t="s">
        <v>284</v>
      </c>
      <c r="H60" s="2" t="s">
        <v>285</v>
      </c>
      <c r="I60" s="3">
        <v>8.500758101E9</v>
      </c>
      <c r="J60" s="5">
        <v>45827.7397337963</v>
      </c>
      <c r="K60" s="2" t="s">
        <v>46</v>
      </c>
      <c r="L60" s="2" t="s">
        <v>193</v>
      </c>
      <c r="M60" s="2" t="s">
        <v>194</v>
      </c>
      <c r="N60" s="2" t="s">
        <v>49</v>
      </c>
      <c r="O60" s="2" t="s">
        <v>88</v>
      </c>
      <c r="P60" s="3">
        <v>1694.0</v>
      </c>
      <c r="Q60" s="2" t="s">
        <v>286</v>
      </c>
      <c r="R60" s="2" t="s">
        <v>287</v>
      </c>
      <c r="S60" s="2" t="s">
        <v>288</v>
      </c>
      <c r="T60" s="2" t="s">
        <v>289</v>
      </c>
      <c r="U60" s="2" t="s">
        <v>55</v>
      </c>
      <c r="V60" s="2" t="s">
        <v>290</v>
      </c>
      <c r="W60" s="2" t="s">
        <v>57</v>
      </c>
      <c r="X60" s="3">
        <v>7.0</v>
      </c>
      <c r="Y60" s="2" t="s">
        <v>58</v>
      </c>
      <c r="Z60" s="3">
        <v>36.0</v>
      </c>
      <c r="AA60" s="3">
        <v>19.0</v>
      </c>
      <c r="AB60" s="3">
        <v>17.0</v>
      </c>
      <c r="AC60" s="3">
        <v>35.0</v>
      </c>
      <c r="AD60" s="3">
        <v>19.0</v>
      </c>
      <c r="AE60" s="3">
        <v>16.0</v>
      </c>
      <c r="AF60" s="3" t="s">
        <v>105</v>
      </c>
      <c r="AG60" s="3" t="s">
        <v>71</v>
      </c>
      <c r="AH60" s="3">
        <v>2.0</v>
      </c>
      <c r="AI60" s="3">
        <v>0.0</v>
      </c>
      <c r="AJ60" s="3">
        <v>2.0</v>
      </c>
      <c r="AK60" s="3">
        <v>0.0</v>
      </c>
      <c r="AL60" s="3">
        <v>0.0</v>
      </c>
      <c r="AM60" s="3">
        <v>2.0</v>
      </c>
      <c r="AN60" s="3">
        <v>30.0</v>
      </c>
      <c r="AO60" s="3">
        <v>93.75</v>
      </c>
    </row>
    <row r="61">
      <c r="A61" s="2" t="s">
        <v>41</v>
      </c>
      <c r="B61" s="3">
        <v>40131.0</v>
      </c>
      <c r="C61" s="4">
        <v>46144.0</v>
      </c>
      <c r="D61" s="3" t="s">
        <v>42</v>
      </c>
      <c r="E61" s="2" t="s">
        <v>43</v>
      </c>
      <c r="F61" s="3">
        <v>87997.0</v>
      </c>
      <c r="G61" s="2" t="s">
        <v>291</v>
      </c>
      <c r="H61" s="2" t="s">
        <v>292</v>
      </c>
      <c r="I61" s="3">
        <v>8.617829447E9</v>
      </c>
      <c r="J61" s="5">
        <v>46030.80567129629</v>
      </c>
      <c r="K61" s="2" t="s">
        <v>46</v>
      </c>
      <c r="L61" s="2" t="s">
        <v>293</v>
      </c>
      <c r="M61" s="2" t="s">
        <v>65</v>
      </c>
      <c r="N61" s="2" t="s">
        <v>49</v>
      </c>
      <c r="O61" s="2" t="s">
        <v>108</v>
      </c>
      <c r="P61" s="3">
        <v>316.0</v>
      </c>
      <c r="Q61" s="2" t="s">
        <v>104</v>
      </c>
      <c r="R61" s="2" t="s">
        <v>65</v>
      </c>
      <c r="S61" s="2" t="s">
        <v>67</v>
      </c>
      <c r="T61" s="2" t="s">
        <v>68</v>
      </c>
      <c r="U61" s="2" t="s">
        <v>55</v>
      </c>
      <c r="V61" s="2" t="s">
        <v>69</v>
      </c>
      <c r="W61" s="2" t="s">
        <v>97</v>
      </c>
      <c r="X61" s="3">
        <v>5.0</v>
      </c>
      <c r="Y61" s="2" t="s">
        <v>58</v>
      </c>
      <c r="Z61" s="3">
        <v>43.0</v>
      </c>
      <c r="AA61" s="3">
        <v>24.0</v>
      </c>
      <c r="AB61" s="3">
        <v>19.0</v>
      </c>
      <c r="AC61" s="3">
        <v>43.0</v>
      </c>
      <c r="AD61" s="3">
        <v>24.0</v>
      </c>
      <c r="AE61" s="3">
        <v>19.0</v>
      </c>
      <c r="AF61" s="4">
        <v>46301.0</v>
      </c>
      <c r="AG61" s="4">
        <v>46301.0</v>
      </c>
      <c r="AH61" s="3">
        <v>1.0</v>
      </c>
      <c r="AI61" s="3">
        <v>0.0</v>
      </c>
      <c r="AJ61" s="3">
        <v>0.0</v>
      </c>
      <c r="AK61" s="3">
        <v>0.0</v>
      </c>
      <c r="AL61" s="3">
        <v>1.0</v>
      </c>
      <c r="AM61" s="3">
        <v>0.0</v>
      </c>
      <c r="AN61" s="3">
        <v>0.0</v>
      </c>
      <c r="AO61" s="6"/>
    </row>
    <row r="62">
      <c r="A62" s="2" t="s">
        <v>41</v>
      </c>
      <c r="B62" s="3">
        <v>40039.0</v>
      </c>
      <c r="C62" s="3" t="s">
        <v>60</v>
      </c>
      <c r="D62" s="3" t="s">
        <v>42</v>
      </c>
      <c r="E62" s="2" t="s">
        <v>43</v>
      </c>
      <c r="F62" s="3">
        <v>88618.0</v>
      </c>
      <c r="G62" s="2" t="s">
        <v>294</v>
      </c>
      <c r="H62" s="2" t="s">
        <v>295</v>
      </c>
      <c r="I62" s="3">
        <v>9.547289239E9</v>
      </c>
      <c r="J62" s="5">
        <v>46065.88112268518</v>
      </c>
      <c r="K62" s="2" t="s">
        <v>46</v>
      </c>
      <c r="L62" s="2" t="s">
        <v>296</v>
      </c>
      <c r="M62" s="2" t="s">
        <v>65</v>
      </c>
      <c r="N62" s="2" t="s">
        <v>49</v>
      </c>
      <c r="O62" s="2" t="s">
        <v>77</v>
      </c>
      <c r="P62" s="3">
        <v>95.0</v>
      </c>
      <c r="Q62" s="2" t="s">
        <v>66</v>
      </c>
      <c r="R62" s="2" t="s">
        <v>65</v>
      </c>
      <c r="S62" s="2" t="s">
        <v>67</v>
      </c>
      <c r="T62" s="2" t="s">
        <v>68</v>
      </c>
      <c r="U62" s="2" t="s">
        <v>55</v>
      </c>
      <c r="V62" s="2" t="s">
        <v>69</v>
      </c>
      <c r="W62" s="2" t="s">
        <v>57</v>
      </c>
      <c r="X62" s="3">
        <v>7.0</v>
      </c>
      <c r="Y62" s="2" t="s">
        <v>70</v>
      </c>
      <c r="Z62" s="3">
        <v>132.0</v>
      </c>
      <c r="AA62" s="3">
        <v>79.0</v>
      </c>
      <c r="AB62" s="3">
        <v>53.0</v>
      </c>
      <c r="AC62" s="3">
        <v>116.0</v>
      </c>
      <c r="AD62" s="3">
        <v>66.0</v>
      </c>
      <c r="AE62" s="3">
        <v>50.0</v>
      </c>
      <c r="AF62" s="4">
        <v>46332.0</v>
      </c>
      <c r="AG62" s="3" t="s">
        <v>99</v>
      </c>
      <c r="AH62" s="3">
        <v>6.0</v>
      </c>
      <c r="AI62" s="3">
        <v>0.0</v>
      </c>
      <c r="AJ62" s="3">
        <v>0.0</v>
      </c>
      <c r="AK62" s="3">
        <v>6.0</v>
      </c>
      <c r="AL62" s="3">
        <v>0.0</v>
      </c>
      <c r="AM62" s="3">
        <v>6.0</v>
      </c>
      <c r="AN62" s="3">
        <v>136.0</v>
      </c>
      <c r="AO62" s="3">
        <v>75.56</v>
      </c>
    </row>
    <row r="63">
      <c r="A63" s="2" t="s">
        <v>41</v>
      </c>
      <c r="B63" s="3">
        <v>40443.0</v>
      </c>
      <c r="C63" s="5">
        <v>46193.5</v>
      </c>
      <c r="D63" s="5">
        <v>46477.5</v>
      </c>
      <c r="E63" s="2" t="s">
        <v>43</v>
      </c>
      <c r="F63" s="3">
        <v>54665.0</v>
      </c>
      <c r="G63" s="2" t="s">
        <v>297</v>
      </c>
      <c r="H63" s="2" t="s">
        <v>298</v>
      </c>
      <c r="I63" s="3">
        <v>9.850088907E9</v>
      </c>
      <c r="J63" s="5">
        <v>44534.481087962966</v>
      </c>
      <c r="K63" s="2" t="s">
        <v>46</v>
      </c>
      <c r="L63" s="2" t="s">
        <v>299</v>
      </c>
      <c r="M63" s="2" t="s">
        <v>169</v>
      </c>
      <c r="N63" s="2" t="s">
        <v>49</v>
      </c>
      <c r="O63" s="2" t="s">
        <v>216</v>
      </c>
      <c r="P63" s="3">
        <v>1061.0</v>
      </c>
      <c r="Q63" s="2" t="s">
        <v>89</v>
      </c>
      <c r="R63" s="2" t="s">
        <v>87</v>
      </c>
      <c r="S63" s="2" t="s">
        <v>90</v>
      </c>
      <c r="T63" s="2" t="s">
        <v>81</v>
      </c>
      <c r="U63" s="2" t="s">
        <v>55</v>
      </c>
      <c r="V63" s="2" t="s">
        <v>91</v>
      </c>
      <c r="W63" s="2" t="s">
        <v>57</v>
      </c>
      <c r="X63" s="3">
        <v>6.0</v>
      </c>
      <c r="Y63" s="2" t="s">
        <v>70</v>
      </c>
      <c r="Z63" s="3">
        <v>79.0</v>
      </c>
      <c r="AA63" s="3">
        <v>47.0</v>
      </c>
      <c r="AB63" s="3">
        <v>32.0</v>
      </c>
      <c r="AC63" s="3">
        <v>76.0</v>
      </c>
      <c r="AD63" s="3">
        <v>44.0</v>
      </c>
      <c r="AE63" s="3">
        <v>32.0</v>
      </c>
      <c r="AF63" s="3" t="s">
        <v>59</v>
      </c>
      <c r="AG63" s="3" t="s">
        <v>93</v>
      </c>
      <c r="AH63" s="3">
        <v>2.0</v>
      </c>
      <c r="AI63" s="3">
        <v>0.0</v>
      </c>
      <c r="AJ63" s="3">
        <v>2.0</v>
      </c>
      <c r="AK63" s="3">
        <v>0.0</v>
      </c>
      <c r="AL63" s="3">
        <v>0.0</v>
      </c>
      <c r="AM63" s="3">
        <v>2.0</v>
      </c>
      <c r="AN63" s="3">
        <v>63.0</v>
      </c>
      <c r="AO63" s="3">
        <v>92.65</v>
      </c>
    </row>
    <row r="64">
      <c r="A64" s="2" t="s">
        <v>41</v>
      </c>
      <c r="B64" s="3">
        <v>40546.0</v>
      </c>
      <c r="C64" s="5">
        <v>46200.5</v>
      </c>
      <c r="D64" s="5">
        <v>46477.5</v>
      </c>
      <c r="E64" s="2" t="s">
        <v>43</v>
      </c>
      <c r="F64" s="3">
        <v>79933.0</v>
      </c>
      <c r="G64" s="2" t="s">
        <v>300</v>
      </c>
      <c r="H64" s="2" t="s">
        <v>301</v>
      </c>
      <c r="I64" s="3">
        <v>9.986033898E9</v>
      </c>
      <c r="J64" s="5">
        <v>45686.802407407406</v>
      </c>
      <c r="K64" s="2" t="s">
        <v>46</v>
      </c>
      <c r="L64" s="2" t="s">
        <v>86</v>
      </c>
      <c r="M64" s="2" t="s">
        <v>87</v>
      </c>
      <c r="N64" s="2" t="s">
        <v>49</v>
      </c>
      <c r="O64" s="2" t="s">
        <v>128</v>
      </c>
      <c r="P64" s="3">
        <v>2016.0</v>
      </c>
      <c r="Q64" s="2" t="s">
        <v>302</v>
      </c>
      <c r="R64" s="2" t="s">
        <v>87</v>
      </c>
      <c r="S64" s="2" t="s">
        <v>149</v>
      </c>
      <c r="T64" s="2" t="s">
        <v>150</v>
      </c>
      <c r="U64" s="2" t="s">
        <v>55</v>
      </c>
      <c r="V64" s="2" t="s">
        <v>91</v>
      </c>
      <c r="W64" s="2" t="s">
        <v>57</v>
      </c>
      <c r="X64" s="3">
        <v>5.0</v>
      </c>
      <c r="Y64" s="2" t="s">
        <v>70</v>
      </c>
      <c r="Z64" s="3">
        <v>84.0</v>
      </c>
      <c r="AA64" s="3">
        <v>44.0</v>
      </c>
      <c r="AB64" s="3">
        <v>40.0</v>
      </c>
      <c r="AC64" s="3">
        <v>84.0</v>
      </c>
      <c r="AD64" s="3">
        <v>44.0</v>
      </c>
      <c r="AE64" s="3">
        <v>40.0</v>
      </c>
      <c r="AF64" s="3" t="s">
        <v>71</v>
      </c>
      <c r="AG64" s="3" t="s">
        <v>71</v>
      </c>
      <c r="AH64" s="3">
        <v>1.0</v>
      </c>
      <c r="AI64" s="3">
        <v>0.0</v>
      </c>
      <c r="AJ64" s="3">
        <v>1.0</v>
      </c>
      <c r="AK64" s="3">
        <v>0.0</v>
      </c>
      <c r="AL64" s="3">
        <v>0.0</v>
      </c>
      <c r="AM64" s="3">
        <v>1.0</v>
      </c>
      <c r="AN64" s="3">
        <v>13.0</v>
      </c>
      <c r="AO64" s="3">
        <v>100.0</v>
      </c>
    </row>
    <row r="65">
      <c r="A65" s="2" t="s">
        <v>41</v>
      </c>
      <c r="B65" s="3">
        <v>40174.0</v>
      </c>
      <c r="C65" s="3" t="s">
        <v>303</v>
      </c>
      <c r="D65" s="3" t="s">
        <v>42</v>
      </c>
      <c r="E65" s="2" t="s">
        <v>43</v>
      </c>
      <c r="F65" s="3">
        <v>84313.0</v>
      </c>
      <c r="G65" s="2" t="s">
        <v>304</v>
      </c>
      <c r="H65" s="2" t="s">
        <v>305</v>
      </c>
      <c r="I65" s="3">
        <v>8.910255921E9</v>
      </c>
      <c r="J65" s="5">
        <v>45863.84365740741</v>
      </c>
      <c r="K65" s="2" t="s">
        <v>46</v>
      </c>
      <c r="L65" s="2" t="s">
        <v>306</v>
      </c>
      <c r="M65" s="2" t="s">
        <v>307</v>
      </c>
      <c r="N65" s="2" t="s">
        <v>49</v>
      </c>
      <c r="O65" s="2" t="s">
        <v>108</v>
      </c>
      <c r="P65" s="3">
        <v>90.0</v>
      </c>
      <c r="Q65" s="2" t="s">
        <v>200</v>
      </c>
      <c r="R65" s="2" t="s">
        <v>65</v>
      </c>
      <c r="S65" s="2" t="s">
        <v>67</v>
      </c>
      <c r="T65" s="2" t="s">
        <v>201</v>
      </c>
      <c r="U65" s="2" t="s">
        <v>55</v>
      </c>
      <c r="V65" s="2" t="s">
        <v>69</v>
      </c>
      <c r="W65" s="2" t="s">
        <v>57</v>
      </c>
      <c r="X65" s="3">
        <v>5.0</v>
      </c>
      <c r="Y65" s="2" t="s">
        <v>70</v>
      </c>
      <c r="Z65" s="3">
        <v>88.0</v>
      </c>
      <c r="AA65" s="3">
        <v>40.0</v>
      </c>
      <c r="AB65" s="3">
        <v>48.0</v>
      </c>
      <c r="AC65" s="3">
        <v>88.0</v>
      </c>
      <c r="AD65" s="3">
        <v>40.0</v>
      </c>
      <c r="AE65" s="3">
        <v>48.0</v>
      </c>
      <c r="AF65" s="4">
        <v>46362.0</v>
      </c>
      <c r="AG65" s="3" t="s">
        <v>105</v>
      </c>
      <c r="AH65" s="3">
        <v>5.0</v>
      </c>
      <c r="AI65" s="3">
        <v>0.0</v>
      </c>
      <c r="AJ65" s="3">
        <v>5.0</v>
      </c>
      <c r="AK65" s="3">
        <v>0.0</v>
      </c>
      <c r="AL65" s="3">
        <v>0.0</v>
      </c>
      <c r="AM65" s="3">
        <v>5.0</v>
      </c>
      <c r="AN65" s="3">
        <v>159.0</v>
      </c>
      <c r="AO65" s="3">
        <v>77.56</v>
      </c>
    </row>
    <row r="66">
      <c r="A66" s="2" t="s">
        <v>41</v>
      </c>
      <c r="B66" s="3">
        <v>40107.0</v>
      </c>
      <c r="C66" s="4">
        <v>46144.0</v>
      </c>
      <c r="D66" s="3" t="s">
        <v>42</v>
      </c>
      <c r="E66" s="2" t="s">
        <v>43</v>
      </c>
      <c r="F66" s="3">
        <v>59269.0</v>
      </c>
      <c r="G66" s="2" t="s">
        <v>308</v>
      </c>
      <c r="H66" s="2" t="s">
        <v>309</v>
      </c>
      <c r="I66" s="3">
        <v>9.849029465E9</v>
      </c>
      <c r="J66" s="5">
        <v>44781.08133101852</v>
      </c>
      <c r="K66" s="2" t="s">
        <v>46</v>
      </c>
      <c r="L66" s="2" t="s">
        <v>193</v>
      </c>
      <c r="M66" s="2" t="s">
        <v>194</v>
      </c>
      <c r="N66" s="2" t="s">
        <v>49</v>
      </c>
      <c r="O66" s="2" t="s">
        <v>177</v>
      </c>
      <c r="P66" s="3">
        <v>253.0</v>
      </c>
      <c r="Q66" s="2" t="s">
        <v>121</v>
      </c>
      <c r="R66" s="2" t="s">
        <v>65</v>
      </c>
      <c r="S66" s="2" t="s">
        <v>122</v>
      </c>
      <c r="T66" s="2" t="s">
        <v>81</v>
      </c>
      <c r="U66" s="2" t="s">
        <v>55</v>
      </c>
      <c r="V66" s="2" t="s">
        <v>69</v>
      </c>
      <c r="W66" s="2" t="s">
        <v>97</v>
      </c>
      <c r="X66" s="3">
        <v>8.0</v>
      </c>
      <c r="Y66" s="2" t="s">
        <v>98</v>
      </c>
      <c r="Z66" s="3">
        <v>64.0</v>
      </c>
      <c r="AA66" s="3">
        <v>31.0</v>
      </c>
      <c r="AB66" s="3">
        <v>33.0</v>
      </c>
      <c r="AC66" s="3">
        <v>62.0</v>
      </c>
      <c r="AD66" s="3">
        <v>31.0</v>
      </c>
      <c r="AE66" s="3">
        <v>31.0</v>
      </c>
      <c r="AF66" s="4">
        <v>46271.0</v>
      </c>
      <c r="AG66" s="3" t="s">
        <v>71</v>
      </c>
      <c r="AH66" s="3">
        <v>6.0</v>
      </c>
      <c r="AI66" s="3">
        <v>0.0</v>
      </c>
      <c r="AJ66" s="3">
        <v>0.0</v>
      </c>
      <c r="AK66" s="3">
        <v>6.0</v>
      </c>
      <c r="AL66" s="3">
        <v>0.0</v>
      </c>
      <c r="AM66" s="3">
        <v>6.0</v>
      </c>
      <c r="AN66" s="3">
        <v>44.0</v>
      </c>
      <c r="AO66" s="3">
        <v>56.41</v>
      </c>
    </row>
    <row r="67">
      <c r="A67" s="2" t="s">
        <v>41</v>
      </c>
      <c r="B67" s="3">
        <v>40108.0</v>
      </c>
      <c r="C67" s="4">
        <v>46144.0</v>
      </c>
      <c r="D67" s="3" t="s">
        <v>42</v>
      </c>
      <c r="E67" s="2" t="s">
        <v>43</v>
      </c>
      <c r="F67" s="3">
        <v>62575.0</v>
      </c>
      <c r="G67" s="2" t="s">
        <v>310</v>
      </c>
      <c r="H67" s="2" t="s">
        <v>311</v>
      </c>
      <c r="I67" s="3">
        <v>9.874636655E9</v>
      </c>
      <c r="J67" s="5">
        <v>44979.507835648146</v>
      </c>
      <c r="K67" s="2" t="s">
        <v>46</v>
      </c>
      <c r="L67" s="2" t="s">
        <v>312</v>
      </c>
      <c r="M67" s="2" t="s">
        <v>169</v>
      </c>
      <c r="N67" s="2" t="s">
        <v>49</v>
      </c>
      <c r="O67" s="2" t="s">
        <v>108</v>
      </c>
      <c r="P67" s="3">
        <v>253.0</v>
      </c>
      <c r="Q67" s="2" t="s">
        <v>121</v>
      </c>
      <c r="R67" s="2" t="s">
        <v>65</v>
      </c>
      <c r="S67" s="2" t="s">
        <v>122</v>
      </c>
      <c r="T67" s="2" t="s">
        <v>81</v>
      </c>
      <c r="U67" s="2" t="s">
        <v>55</v>
      </c>
      <c r="V67" s="2" t="s">
        <v>69</v>
      </c>
      <c r="W67" s="2" t="s">
        <v>57</v>
      </c>
      <c r="X67" s="3">
        <v>8.0</v>
      </c>
      <c r="Y67" s="2" t="s">
        <v>70</v>
      </c>
      <c r="Z67" s="3">
        <v>64.0</v>
      </c>
      <c r="AA67" s="3">
        <v>31.0</v>
      </c>
      <c r="AB67" s="3">
        <v>33.0</v>
      </c>
      <c r="AC67" s="3">
        <v>62.0</v>
      </c>
      <c r="AD67" s="3">
        <v>31.0</v>
      </c>
      <c r="AE67" s="3">
        <v>31.0</v>
      </c>
      <c r="AF67" s="4">
        <v>46301.0</v>
      </c>
      <c r="AG67" s="3" t="s">
        <v>93</v>
      </c>
      <c r="AH67" s="3">
        <v>6.0</v>
      </c>
      <c r="AI67" s="3">
        <v>0.0</v>
      </c>
      <c r="AJ67" s="3">
        <v>1.0</v>
      </c>
      <c r="AK67" s="3">
        <v>5.0</v>
      </c>
      <c r="AL67" s="3">
        <v>0.0</v>
      </c>
      <c r="AM67" s="3">
        <v>6.0</v>
      </c>
      <c r="AN67" s="3">
        <v>39.0</v>
      </c>
      <c r="AO67" s="3">
        <v>50.0</v>
      </c>
    </row>
    <row r="68">
      <c r="A68" s="2" t="s">
        <v>41</v>
      </c>
      <c r="B68" s="3">
        <v>40473.0</v>
      </c>
      <c r="C68" s="5">
        <v>46195.5</v>
      </c>
      <c r="D68" s="5">
        <v>46477.5</v>
      </c>
      <c r="E68" s="2" t="s">
        <v>43</v>
      </c>
      <c r="F68" s="3">
        <v>24931.0</v>
      </c>
      <c r="G68" s="2" t="s">
        <v>313</v>
      </c>
      <c r="H68" s="2" t="s">
        <v>314</v>
      </c>
      <c r="I68" s="3">
        <v>9.885106051E9</v>
      </c>
      <c r="J68" s="5">
        <v>43332.33118055556</v>
      </c>
      <c r="K68" s="2" t="s">
        <v>57</v>
      </c>
      <c r="L68" s="2" t="s">
        <v>193</v>
      </c>
      <c r="M68" s="2" t="s">
        <v>194</v>
      </c>
      <c r="N68" s="2" t="s">
        <v>49</v>
      </c>
      <c r="O68" s="6"/>
      <c r="P68" s="3">
        <v>1699.0</v>
      </c>
      <c r="Q68" s="2" t="s">
        <v>315</v>
      </c>
      <c r="R68" s="2" t="s">
        <v>287</v>
      </c>
      <c r="S68" s="2" t="s">
        <v>288</v>
      </c>
      <c r="T68" s="2" t="s">
        <v>289</v>
      </c>
      <c r="U68" s="2" t="s">
        <v>55</v>
      </c>
      <c r="V68" s="2" t="s">
        <v>290</v>
      </c>
      <c r="W68" s="2" t="s">
        <v>57</v>
      </c>
      <c r="X68" s="3">
        <v>8.0</v>
      </c>
      <c r="Y68" s="2" t="s">
        <v>70</v>
      </c>
      <c r="Z68" s="3">
        <v>61.0</v>
      </c>
      <c r="AA68" s="3">
        <v>23.0</v>
      </c>
      <c r="AB68" s="3">
        <v>38.0</v>
      </c>
      <c r="AC68" s="3">
        <v>61.0</v>
      </c>
      <c r="AD68" s="3">
        <v>23.0</v>
      </c>
      <c r="AE68" s="3">
        <v>38.0</v>
      </c>
      <c r="AF68" s="3" t="s">
        <v>105</v>
      </c>
      <c r="AG68" s="3" t="s">
        <v>71</v>
      </c>
      <c r="AH68" s="3">
        <v>2.0</v>
      </c>
      <c r="AI68" s="3">
        <v>0.0</v>
      </c>
      <c r="AJ68" s="3">
        <v>2.0</v>
      </c>
      <c r="AK68" s="3">
        <v>0.0</v>
      </c>
      <c r="AL68" s="3">
        <v>0.0</v>
      </c>
      <c r="AM68" s="3">
        <v>2.0</v>
      </c>
      <c r="AN68" s="3">
        <v>56.0</v>
      </c>
      <c r="AO68" s="3">
        <v>84.85</v>
      </c>
    </row>
    <row r="69">
      <c r="A69" s="2" t="s">
        <v>41</v>
      </c>
      <c r="B69" s="3">
        <v>40175.0</v>
      </c>
      <c r="C69" s="3" t="s">
        <v>196</v>
      </c>
      <c r="D69" s="3" t="s">
        <v>42</v>
      </c>
      <c r="E69" s="2" t="s">
        <v>43</v>
      </c>
      <c r="F69" s="3">
        <v>85043.0</v>
      </c>
      <c r="G69" s="2" t="s">
        <v>316</v>
      </c>
      <c r="H69" s="2" t="s">
        <v>317</v>
      </c>
      <c r="I69" s="3">
        <v>8.585089403E9</v>
      </c>
      <c r="J69" s="5">
        <v>45890.5487037037</v>
      </c>
      <c r="K69" s="2" t="s">
        <v>63</v>
      </c>
      <c r="L69" s="2" t="s">
        <v>86</v>
      </c>
      <c r="M69" s="2" t="s">
        <v>87</v>
      </c>
      <c r="N69" s="2" t="s">
        <v>49</v>
      </c>
      <c r="O69" s="2" t="s">
        <v>50</v>
      </c>
      <c r="P69" s="3">
        <v>90.0</v>
      </c>
      <c r="Q69" s="2" t="s">
        <v>200</v>
      </c>
      <c r="R69" s="2" t="s">
        <v>65</v>
      </c>
      <c r="S69" s="2" t="s">
        <v>67</v>
      </c>
      <c r="T69" s="2" t="s">
        <v>201</v>
      </c>
      <c r="U69" s="2" t="s">
        <v>55</v>
      </c>
      <c r="V69" s="2" t="s">
        <v>69</v>
      </c>
      <c r="W69" s="2" t="s">
        <v>97</v>
      </c>
      <c r="X69" s="3">
        <v>5.0</v>
      </c>
      <c r="Y69" s="2" t="s">
        <v>58</v>
      </c>
      <c r="Z69" s="3">
        <v>88.0</v>
      </c>
      <c r="AA69" s="3">
        <v>40.0</v>
      </c>
      <c r="AB69" s="3">
        <v>48.0</v>
      </c>
      <c r="AC69" s="3">
        <v>88.0</v>
      </c>
      <c r="AD69" s="3">
        <v>40.0</v>
      </c>
      <c r="AE69" s="3">
        <v>48.0</v>
      </c>
      <c r="AF69" s="4">
        <v>46271.0</v>
      </c>
      <c r="AG69" s="3" t="s">
        <v>71</v>
      </c>
      <c r="AH69" s="3">
        <v>7.0</v>
      </c>
      <c r="AI69" s="3">
        <v>0.0</v>
      </c>
      <c r="AJ69" s="3">
        <v>6.0</v>
      </c>
      <c r="AK69" s="3">
        <v>1.0</v>
      </c>
      <c r="AL69" s="3">
        <v>0.0</v>
      </c>
      <c r="AM69" s="3">
        <v>7.0</v>
      </c>
      <c r="AN69" s="3">
        <v>235.0</v>
      </c>
      <c r="AO69" s="3">
        <v>81.88</v>
      </c>
    </row>
    <row r="70">
      <c r="A70" s="2" t="s">
        <v>41</v>
      </c>
      <c r="B70" s="3">
        <v>40077.0</v>
      </c>
      <c r="C70" s="3" t="s">
        <v>151</v>
      </c>
      <c r="D70" s="3" t="s">
        <v>42</v>
      </c>
      <c r="E70" s="2" t="s">
        <v>43</v>
      </c>
      <c r="F70" s="3">
        <v>71976.0</v>
      </c>
      <c r="G70" s="2" t="s">
        <v>318</v>
      </c>
      <c r="H70" s="2" t="s">
        <v>319</v>
      </c>
      <c r="I70" s="3">
        <v>9.342241147E9</v>
      </c>
      <c r="J70" s="5">
        <v>45379.65760416666</v>
      </c>
      <c r="K70" s="2" t="s">
        <v>46</v>
      </c>
      <c r="L70" s="2" t="s">
        <v>86</v>
      </c>
      <c r="M70" s="2" t="s">
        <v>87</v>
      </c>
      <c r="N70" s="2" t="s">
        <v>49</v>
      </c>
      <c r="O70" s="2" t="s">
        <v>161</v>
      </c>
      <c r="P70" s="3">
        <v>225.0</v>
      </c>
      <c r="Q70" s="2" t="s">
        <v>185</v>
      </c>
      <c r="R70" s="2" t="s">
        <v>65</v>
      </c>
      <c r="S70" s="2" t="s">
        <v>67</v>
      </c>
      <c r="T70" s="2" t="s">
        <v>68</v>
      </c>
      <c r="U70" s="2" t="s">
        <v>55</v>
      </c>
      <c r="V70" s="2" t="s">
        <v>69</v>
      </c>
      <c r="W70" s="2" t="s">
        <v>97</v>
      </c>
      <c r="X70" s="3">
        <v>8.0</v>
      </c>
      <c r="Y70" s="2" t="s">
        <v>98</v>
      </c>
      <c r="Z70" s="3">
        <v>101.0</v>
      </c>
      <c r="AA70" s="3">
        <v>46.0</v>
      </c>
      <c r="AB70" s="3">
        <v>54.0</v>
      </c>
      <c r="AC70" s="3">
        <v>100.0</v>
      </c>
      <c r="AD70" s="3">
        <v>46.0</v>
      </c>
      <c r="AE70" s="3">
        <v>54.0</v>
      </c>
      <c r="AF70" s="4">
        <v>46271.0</v>
      </c>
      <c r="AG70" s="3" t="s">
        <v>71</v>
      </c>
      <c r="AH70" s="3">
        <v>7.0</v>
      </c>
      <c r="AI70" s="3">
        <v>0.0</v>
      </c>
      <c r="AJ70" s="3">
        <v>6.0</v>
      </c>
      <c r="AK70" s="3">
        <v>0.0</v>
      </c>
      <c r="AL70" s="3">
        <v>1.0</v>
      </c>
      <c r="AM70" s="3">
        <v>6.0</v>
      </c>
      <c r="AN70" s="3">
        <v>157.0</v>
      </c>
      <c r="AO70" s="3">
        <v>59.47</v>
      </c>
    </row>
    <row r="71">
      <c r="A71" s="2" t="s">
        <v>41</v>
      </c>
      <c r="B71" s="3">
        <v>40078.0</v>
      </c>
      <c r="C71" s="3" t="s">
        <v>151</v>
      </c>
      <c r="D71" s="3" t="s">
        <v>42</v>
      </c>
      <c r="E71" s="2" t="s">
        <v>43</v>
      </c>
      <c r="F71" s="3">
        <v>71976.0</v>
      </c>
      <c r="G71" s="2" t="s">
        <v>318</v>
      </c>
      <c r="H71" s="2" t="s">
        <v>319</v>
      </c>
      <c r="I71" s="3">
        <v>9.342241147E9</v>
      </c>
      <c r="J71" s="5">
        <v>45379.65760416666</v>
      </c>
      <c r="K71" s="2" t="s">
        <v>46</v>
      </c>
      <c r="L71" s="2" t="s">
        <v>86</v>
      </c>
      <c r="M71" s="2" t="s">
        <v>87</v>
      </c>
      <c r="N71" s="2" t="s">
        <v>49</v>
      </c>
      <c r="O71" s="2" t="s">
        <v>161</v>
      </c>
      <c r="P71" s="3">
        <v>253.0</v>
      </c>
      <c r="Q71" s="2" t="s">
        <v>121</v>
      </c>
      <c r="R71" s="2" t="s">
        <v>65</v>
      </c>
      <c r="S71" s="2" t="s">
        <v>122</v>
      </c>
      <c r="T71" s="2" t="s">
        <v>81</v>
      </c>
      <c r="U71" s="2" t="s">
        <v>55</v>
      </c>
      <c r="V71" s="2" t="s">
        <v>69</v>
      </c>
      <c r="W71" s="2" t="s">
        <v>97</v>
      </c>
      <c r="X71" s="3">
        <v>7.0</v>
      </c>
      <c r="Y71" s="2" t="s">
        <v>58</v>
      </c>
      <c r="Z71" s="3">
        <v>64.0</v>
      </c>
      <c r="AA71" s="3">
        <v>31.0</v>
      </c>
      <c r="AB71" s="3">
        <v>33.0</v>
      </c>
      <c r="AC71" s="3">
        <v>62.0</v>
      </c>
      <c r="AD71" s="3">
        <v>31.0</v>
      </c>
      <c r="AE71" s="3">
        <v>31.0</v>
      </c>
      <c r="AF71" s="4">
        <v>46362.0</v>
      </c>
      <c r="AG71" s="3" t="s">
        <v>105</v>
      </c>
      <c r="AH71" s="3">
        <v>5.0</v>
      </c>
      <c r="AI71" s="3">
        <v>0.0</v>
      </c>
      <c r="AJ71" s="3">
        <v>5.0</v>
      </c>
      <c r="AK71" s="3">
        <v>0.0</v>
      </c>
      <c r="AL71" s="3">
        <v>0.0</v>
      </c>
      <c r="AM71" s="3">
        <v>5.0</v>
      </c>
      <c r="AN71" s="3">
        <v>71.0</v>
      </c>
      <c r="AO71" s="3">
        <v>52.59</v>
      </c>
    </row>
    <row r="72">
      <c r="A72" s="2" t="s">
        <v>41</v>
      </c>
      <c r="B72" s="3">
        <v>40044.0</v>
      </c>
      <c r="C72" s="3" t="s">
        <v>60</v>
      </c>
      <c r="D72" s="3" t="s">
        <v>42</v>
      </c>
      <c r="E72" s="2" t="s">
        <v>43</v>
      </c>
      <c r="F72" s="3">
        <v>82894.0</v>
      </c>
      <c r="G72" s="2" t="s">
        <v>320</v>
      </c>
      <c r="H72" s="2" t="s">
        <v>321</v>
      </c>
      <c r="I72" s="3">
        <v>7.001597071E9</v>
      </c>
      <c r="J72" s="5">
        <v>45845.63790509259</v>
      </c>
      <c r="K72" s="2" t="s">
        <v>322</v>
      </c>
      <c r="L72" s="2" t="s">
        <v>323</v>
      </c>
      <c r="M72" s="2" t="s">
        <v>48</v>
      </c>
      <c r="N72" s="2" t="s">
        <v>49</v>
      </c>
      <c r="O72" s="2" t="s">
        <v>77</v>
      </c>
      <c r="P72" s="3">
        <v>226.0</v>
      </c>
      <c r="Q72" s="2" t="s">
        <v>231</v>
      </c>
      <c r="R72" s="2" t="s">
        <v>65</v>
      </c>
      <c r="S72" s="2" t="s">
        <v>67</v>
      </c>
      <c r="T72" s="2" t="s">
        <v>68</v>
      </c>
      <c r="U72" s="2" t="s">
        <v>55</v>
      </c>
      <c r="V72" s="2" t="s">
        <v>69</v>
      </c>
      <c r="W72" s="2" t="s">
        <v>57</v>
      </c>
      <c r="X72" s="3">
        <v>5.0</v>
      </c>
      <c r="Y72" s="2" t="s">
        <v>70</v>
      </c>
      <c r="Z72" s="3">
        <v>81.0</v>
      </c>
      <c r="AA72" s="3">
        <v>34.0</v>
      </c>
      <c r="AB72" s="3">
        <v>47.0</v>
      </c>
      <c r="AC72" s="3">
        <v>81.0</v>
      </c>
      <c r="AD72" s="3">
        <v>34.0</v>
      </c>
      <c r="AE72" s="3">
        <v>47.0</v>
      </c>
      <c r="AF72" s="4">
        <v>46362.0</v>
      </c>
      <c r="AG72" s="3" t="s">
        <v>99</v>
      </c>
      <c r="AH72" s="3">
        <v>5.0</v>
      </c>
      <c r="AI72" s="3">
        <v>0.0</v>
      </c>
      <c r="AJ72" s="3">
        <v>0.0</v>
      </c>
      <c r="AK72" s="3">
        <v>5.0</v>
      </c>
      <c r="AL72" s="3">
        <v>0.0</v>
      </c>
      <c r="AM72" s="3">
        <v>5.0</v>
      </c>
      <c r="AN72" s="3">
        <v>74.0</v>
      </c>
      <c r="AO72" s="3">
        <v>56.92</v>
      </c>
    </row>
    <row r="73">
      <c r="A73" s="2" t="s">
        <v>41</v>
      </c>
      <c r="B73" s="3">
        <v>40045.0</v>
      </c>
      <c r="C73" s="3" t="s">
        <v>60</v>
      </c>
      <c r="D73" s="3" t="s">
        <v>42</v>
      </c>
      <c r="E73" s="2" t="s">
        <v>43</v>
      </c>
      <c r="F73" s="3">
        <v>61402.0</v>
      </c>
      <c r="G73" s="2" t="s">
        <v>324</v>
      </c>
      <c r="H73" s="2" t="s">
        <v>325</v>
      </c>
      <c r="I73" s="3">
        <v>9.903365434E9</v>
      </c>
      <c r="J73" s="5">
        <v>44901.51163194444</v>
      </c>
      <c r="K73" s="2" t="s">
        <v>46</v>
      </c>
      <c r="L73" s="2" t="s">
        <v>86</v>
      </c>
      <c r="M73" s="2" t="s">
        <v>87</v>
      </c>
      <c r="N73" s="2" t="s">
        <v>49</v>
      </c>
      <c r="O73" s="2" t="s">
        <v>88</v>
      </c>
      <c r="P73" s="3">
        <v>226.0</v>
      </c>
      <c r="Q73" s="2" t="s">
        <v>231</v>
      </c>
      <c r="R73" s="2" t="s">
        <v>65</v>
      </c>
      <c r="S73" s="2" t="s">
        <v>67</v>
      </c>
      <c r="T73" s="2" t="s">
        <v>68</v>
      </c>
      <c r="U73" s="2" t="s">
        <v>55</v>
      </c>
      <c r="V73" s="2" t="s">
        <v>69</v>
      </c>
      <c r="W73" s="2" t="s">
        <v>97</v>
      </c>
      <c r="X73" s="3">
        <v>6.0</v>
      </c>
      <c r="Y73" s="2" t="s">
        <v>58</v>
      </c>
      <c r="Z73" s="3">
        <v>81.0</v>
      </c>
      <c r="AA73" s="3">
        <v>34.0</v>
      </c>
      <c r="AB73" s="3">
        <v>47.0</v>
      </c>
      <c r="AC73" s="3">
        <v>81.0</v>
      </c>
      <c r="AD73" s="3">
        <v>34.0</v>
      </c>
      <c r="AE73" s="3">
        <v>47.0</v>
      </c>
      <c r="AF73" s="4">
        <v>46301.0</v>
      </c>
      <c r="AG73" s="3" t="s">
        <v>59</v>
      </c>
      <c r="AH73" s="3">
        <v>5.0</v>
      </c>
      <c r="AI73" s="3">
        <v>0.0</v>
      </c>
      <c r="AJ73" s="3">
        <v>5.0</v>
      </c>
      <c r="AK73" s="3">
        <v>0.0</v>
      </c>
      <c r="AL73" s="3">
        <v>0.0</v>
      </c>
      <c r="AM73" s="3">
        <v>5.0</v>
      </c>
      <c r="AN73" s="3">
        <v>69.0</v>
      </c>
      <c r="AO73" s="3">
        <v>81.18</v>
      </c>
    </row>
    <row r="74">
      <c r="A74" s="2" t="s">
        <v>41</v>
      </c>
      <c r="B74" s="3">
        <v>40037.0</v>
      </c>
      <c r="C74" s="3" t="s">
        <v>60</v>
      </c>
      <c r="D74" s="3" t="s">
        <v>42</v>
      </c>
      <c r="E74" s="2" t="s">
        <v>43</v>
      </c>
      <c r="F74" s="3">
        <v>60747.0</v>
      </c>
      <c r="G74" s="2" t="s">
        <v>326</v>
      </c>
      <c r="H74" s="2" t="s">
        <v>327</v>
      </c>
      <c r="I74" s="3">
        <v>6.290633599E9</v>
      </c>
      <c r="J74" s="5">
        <v>44863.52579861111</v>
      </c>
      <c r="K74" s="2" t="s">
        <v>46</v>
      </c>
      <c r="L74" s="2" t="s">
        <v>328</v>
      </c>
      <c r="M74" s="2" t="s">
        <v>65</v>
      </c>
      <c r="N74" s="2" t="s">
        <v>49</v>
      </c>
      <c r="O74" s="2" t="s">
        <v>161</v>
      </c>
      <c r="P74" s="3">
        <v>95.0</v>
      </c>
      <c r="Q74" s="2" t="s">
        <v>66</v>
      </c>
      <c r="R74" s="2" t="s">
        <v>65</v>
      </c>
      <c r="S74" s="2" t="s">
        <v>67</v>
      </c>
      <c r="T74" s="2" t="s">
        <v>68</v>
      </c>
      <c r="U74" s="2" t="s">
        <v>55</v>
      </c>
      <c r="V74" s="2" t="s">
        <v>69</v>
      </c>
      <c r="W74" s="2" t="s">
        <v>97</v>
      </c>
      <c r="X74" s="3">
        <v>8.0</v>
      </c>
      <c r="Y74" s="2" t="s">
        <v>58</v>
      </c>
      <c r="Z74" s="3">
        <v>132.0</v>
      </c>
      <c r="AA74" s="3">
        <v>79.0</v>
      </c>
      <c r="AB74" s="3">
        <v>53.0</v>
      </c>
      <c r="AC74" s="3">
        <v>116.0</v>
      </c>
      <c r="AD74" s="3">
        <v>66.0</v>
      </c>
      <c r="AE74" s="3">
        <v>50.0</v>
      </c>
      <c r="AF74" s="4">
        <v>46362.0</v>
      </c>
      <c r="AG74" s="3" t="s">
        <v>105</v>
      </c>
      <c r="AH74" s="3">
        <v>5.0</v>
      </c>
      <c r="AI74" s="3">
        <v>0.0</v>
      </c>
      <c r="AJ74" s="3">
        <v>5.0</v>
      </c>
      <c r="AK74" s="3">
        <v>0.0</v>
      </c>
      <c r="AL74" s="3">
        <v>0.0</v>
      </c>
      <c r="AM74" s="3">
        <v>5.0</v>
      </c>
      <c r="AN74" s="3">
        <v>143.0</v>
      </c>
      <c r="AO74" s="3">
        <v>69.76</v>
      </c>
    </row>
    <row r="75">
      <c r="A75" s="2" t="s">
        <v>41</v>
      </c>
      <c r="B75" s="3">
        <v>40073.0</v>
      </c>
      <c r="C75" s="3" t="s">
        <v>60</v>
      </c>
      <c r="D75" s="3" t="s">
        <v>42</v>
      </c>
      <c r="E75" s="2" t="s">
        <v>43</v>
      </c>
      <c r="F75" s="3">
        <v>82035.0</v>
      </c>
      <c r="G75" s="2" t="s">
        <v>329</v>
      </c>
      <c r="H75" s="2" t="s">
        <v>330</v>
      </c>
      <c r="I75" s="3">
        <v>9.100947351E9</v>
      </c>
      <c r="J75" s="5">
        <v>45826.62142361111</v>
      </c>
      <c r="K75" s="2" t="s">
        <v>331</v>
      </c>
      <c r="L75" s="2" t="s">
        <v>193</v>
      </c>
      <c r="M75" s="2" t="s">
        <v>194</v>
      </c>
      <c r="N75" s="2" t="s">
        <v>49</v>
      </c>
      <c r="O75" s="2" t="s">
        <v>50</v>
      </c>
      <c r="P75" s="3">
        <v>225.0</v>
      </c>
      <c r="Q75" s="2" t="s">
        <v>185</v>
      </c>
      <c r="R75" s="2" t="s">
        <v>65</v>
      </c>
      <c r="S75" s="2" t="s">
        <v>67</v>
      </c>
      <c r="T75" s="2" t="s">
        <v>68</v>
      </c>
      <c r="U75" s="2" t="s">
        <v>55</v>
      </c>
      <c r="V75" s="2" t="s">
        <v>69</v>
      </c>
      <c r="W75" s="2" t="s">
        <v>97</v>
      </c>
      <c r="X75" s="3">
        <v>5.0</v>
      </c>
      <c r="Y75" s="2" t="s">
        <v>58</v>
      </c>
      <c r="Z75" s="3">
        <v>101.0</v>
      </c>
      <c r="AA75" s="3">
        <v>46.0</v>
      </c>
      <c r="AB75" s="3">
        <v>54.0</v>
      </c>
      <c r="AC75" s="3">
        <v>100.0</v>
      </c>
      <c r="AD75" s="3">
        <v>46.0</v>
      </c>
      <c r="AE75" s="3">
        <v>54.0</v>
      </c>
      <c r="AF75" s="3" t="s">
        <v>332</v>
      </c>
      <c r="AG75" s="3" t="s">
        <v>99</v>
      </c>
      <c r="AH75" s="3">
        <v>5.0</v>
      </c>
      <c r="AI75" s="3">
        <v>0.0</v>
      </c>
      <c r="AJ75" s="3">
        <v>3.0</v>
      </c>
      <c r="AK75" s="3">
        <v>0.0</v>
      </c>
      <c r="AL75" s="3">
        <v>2.0</v>
      </c>
      <c r="AM75" s="3">
        <v>3.0</v>
      </c>
      <c r="AN75" s="3">
        <v>38.0</v>
      </c>
      <c r="AO75" s="3">
        <v>70.37</v>
      </c>
    </row>
    <row r="76">
      <c r="A76" s="2" t="s">
        <v>41</v>
      </c>
      <c r="B76" s="3">
        <v>40438.0</v>
      </c>
      <c r="C76" s="4">
        <v>46301.0</v>
      </c>
      <c r="D76" s="3" t="s">
        <v>72</v>
      </c>
      <c r="E76" s="2" t="s">
        <v>43</v>
      </c>
      <c r="F76" s="3">
        <v>48315.0</v>
      </c>
      <c r="G76" s="2" t="s">
        <v>333</v>
      </c>
      <c r="H76" s="2" t="s">
        <v>334</v>
      </c>
      <c r="I76" s="3">
        <v>9.353205511E9</v>
      </c>
      <c r="J76" s="5">
        <v>44314.59556712963</v>
      </c>
      <c r="K76" s="2" t="s">
        <v>46</v>
      </c>
      <c r="L76" s="2" t="s">
        <v>335</v>
      </c>
      <c r="M76" s="2" t="s">
        <v>87</v>
      </c>
      <c r="N76" s="2" t="s">
        <v>49</v>
      </c>
      <c r="O76" s="2" t="s">
        <v>255</v>
      </c>
      <c r="P76" s="3">
        <v>1061.0</v>
      </c>
      <c r="Q76" s="2" t="s">
        <v>89</v>
      </c>
      <c r="R76" s="2" t="s">
        <v>87</v>
      </c>
      <c r="S76" s="2" t="s">
        <v>90</v>
      </c>
      <c r="T76" s="2" t="s">
        <v>81</v>
      </c>
      <c r="U76" s="2" t="s">
        <v>55</v>
      </c>
      <c r="V76" s="2" t="s">
        <v>91</v>
      </c>
      <c r="W76" s="2" t="s">
        <v>57</v>
      </c>
      <c r="X76" s="3">
        <v>7.0</v>
      </c>
      <c r="Y76" s="2" t="s">
        <v>70</v>
      </c>
      <c r="Z76" s="3">
        <v>79.0</v>
      </c>
      <c r="AA76" s="3">
        <v>47.0</v>
      </c>
      <c r="AB76" s="3">
        <v>32.0</v>
      </c>
      <c r="AC76" s="3">
        <v>76.0</v>
      </c>
      <c r="AD76" s="3">
        <v>44.0</v>
      </c>
      <c r="AE76" s="3">
        <v>32.0</v>
      </c>
      <c r="AF76" s="4">
        <v>46332.0</v>
      </c>
      <c r="AG76" s="3" t="s">
        <v>93</v>
      </c>
      <c r="AH76" s="3">
        <v>5.0</v>
      </c>
      <c r="AI76" s="3">
        <v>0.0</v>
      </c>
      <c r="AJ76" s="3">
        <v>5.0</v>
      </c>
      <c r="AK76" s="3">
        <v>0.0</v>
      </c>
      <c r="AL76" s="3">
        <v>0.0</v>
      </c>
      <c r="AM76" s="3">
        <v>5.0</v>
      </c>
      <c r="AN76" s="3">
        <v>110.0</v>
      </c>
      <c r="AO76" s="3">
        <v>84.62</v>
      </c>
    </row>
    <row r="77">
      <c r="A77" s="2" t="s">
        <v>41</v>
      </c>
      <c r="B77" s="3">
        <v>40106.0</v>
      </c>
      <c r="C77" s="4">
        <v>46144.0</v>
      </c>
      <c r="D77" s="3" t="s">
        <v>42</v>
      </c>
      <c r="E77" s="2" t="s">
        <v>43</v>
      </c>
      <c r="F77" s="3">
        <v>83349.0</v>
      </c>
      <c r="G77" s="2" t="s">
        <v>336</v>
      </c>
      <c r="H77" s="2" t="s">
        <v>337</v>
      </c>
      <c r="I77" s="3">
        <v>8.658327418E9</v>
      </c>
      <c r="J77" s="5">
        <v>45853.648368055554</v>
      </c>
      <c r="K77" s="2" t="s">
        <v>102</v>
      </c>
      <c r="L77" s="2" t="s">
        <v>184</v>
      </c>
      <c r="M77" s="2" t="s">
        <v>65</v>
      </c>
      <c r="N77" s="2" t="s">
        <v>49</v>
      </c>
      <c r="O77" s="2" t="s">
        <v>50</v>
      </c>
      <c r="P77" s="3">
        <v>308.0</v>
      </c>
      <c r="Q77" s="2" t="s">
        <v>96</v>
      </c>
      <c r="R77" s="2" t="s">
        <v>65</v>
      </c>
      <c r="S77" s="2" t="s">
        <v>67</v>
      </c>
      <c r="T77" s="2" t="s">
        <v>68</v>
      </c>
      <c r="U77" s="2" t="s">
        <v>55</v>
      </c>
      <c r="V77" s="2" t="s">
        <v>69</v>
      </c>
      <c r="W77" s="2" t="s">
        <v>97</v>
      </c>
      <c r="X77" s="3">
        <v>6.0</v>
      </c>
      <c r="Y77" s="2" t="s">
        <v>58</v>
      </c>
      <c r="Z77" s="3">
        <v>105.0</v>
      </c>
      <c r="AA77" s="3">
        <v>54.0</v>
      </c>
      <c r="AB77" s="3">
        <v>51.0</v>
      </c>
      <c r="AC77" s="3">
        <v>104.0</v>
      </c>
      <c r="AD77" s="3">
        <v>54.0</v>
      </c>
      <c r="AE77" s="3">
        <v>50.0</v>
      </c>
      <c r="AF77" s="4">
        <v>46301.0</v>
      </c>
      <c r="AG77" s="3" t="s">
        <v>59</v>
      </c>
      <c r="AH77" s="3">
        <v>5.0</v>
      </c>
      <c r="AI77" s="3">
        <v>0.0</v>
      </c>
      <c r="AJ77" s="3">
        <v>3.0</v>
      </c>
      <c r="AK77" s="3">
        <v>2.0</v>
      </c>
      <c r="AL77" s="3">
        <v>0.0</v>
      </c>
      <c r="AM77" s="3">
        <v>5.0</v>
      </c>
      <c r="AN77" s="3">
        <v>110.0</v>
      </c>
      <c r="AO77" s="3">
        <v>75.86</v>
      </c>
    </row>
    <row r="78">
      <c r="A78" s="2" t="s">
        <v>41</v>
      </c>
      <c r="B78" s="3">
        <v>40181.0</v>
      </c>
      <c r="C78" s="3" t="s">
        <v>189</v>
      </c>
      <c r="D78" s="3" t="s">
        <v>42</v>
      </c>
      <c r="E78" s="2" t="s">
        <v>43</v>
      </c>
      <c r="F78" s="3">
        <v>84155.0</v>
      </c>
      <c r="G78" s="2" t="s">
        <v>338</v>
      </c>
      <c r="H78" s="2" t="s">
        <v>339</v>
      </c>
      <c r="I78" s="3">
        <v>7.003981139E9</v>
      </c>
      <c r="J78" s="5">
        <v>45860.73321759259</v>
      </c>
      <c r="L78" s="2" t="s">
        <v>86</v>
      </c>
      <c r="M78" s="2" t="s">
        <v>87</v>
      </c>
      <c r="N78" s="2" t="s">
        <v>49</v>
      </c>
      <c r="O78" s="2" t="s">
        <v>77</v>
      </c>
      <c r="P78" s="3">
        <v>2051.0</v>
      </c>
      <c r="Q78" s="2" t="s">
        <v>190</v>
      </c>
      <c r="R78" s="2" t="s">
        <v>65</v>
      </c>
      <c r="S78" s="2" t="s">
        <v>122</v>
      </c>
      <c r="T78" s="6"/>
      <c r="U78" s="2" t="s">
        <v>55</v>
      </c>
      <c r="V78" s="2" t="s">
        <v>69</v>
      </c>
      <c r="W78" s="2" t="s">
        <v>97</v>
      </c>
      <c r="X78" s="3">
        <v>7.0</v>
      </c>
      <c r="Y78" s="2" t="s">
        <v>98</v>
      </c>
      <c r="Z78" s="3">
        <v>91.0</v>
      </c>
      <c r="AA78" s="3">
        <v>44.0</v>
      </c>
      <c r="AB78" s="3">
        <v>47.0</v>
      </c>
      <c r="AC78" s="3">
        <v>91.0</v>
      </c>
      <c r="AD78" s="3">
        <v>44.0</v>
      </c>
      <c r="AE78" s="3">
        <v>47.0</v>
      </c>
      <c r="AF78" s="3" t="s">
        <v>93</v>
      </c>
      <c r="AG78" s="3" t="s">
        <v>93</v>
      </c>
      <c r="AH78" s="3">
        <v>1.0</v>
      </c>
      <c r="AI78" s="3">
        <v>0.0</v>
      </c>
      <c r="AJ78" s="3">
        <v>0.0</v>
      </c>
      <c r="AK78" s="3">
        <v>0.0</v>
      </c>
      <c r="AL78" s="3">
        <v>1.0</v>
      </c>
      <c r="AM78" s="3">
        <v>0.0</v>
      </c>
      <c r="AN78" s="3">
        <v>0.0</v>
      </c>
      <c r="AO78" s="6"/>
    </row>
    <row r="79">
      <c r="A79" s="2" t="s">
        <v>41</v>
      </c>
      <c r="B79" s="3">
        <v>40130.0</v>
      </c>
      <c r="C79" s="4">
        <v>46055.0</v>
      </c>
      <c r="D79" s="3" t="s">
        <v>42</v>
      </c>
      <c r="E79" s="2" t="s">
        <v>43</v>
      </c>
      <c r="F79" s="3">
        <v>88194.0</v>
      </c>
      <c r="G79" s="2" t="s">
        <v>340</v>
      </c>
      <c r="H79" s="2" t="s">
        <v>341</v>
      </c>
      <c r="I79" s="3">
        <v>8.900546143E9</v>
      </c>
      <c r="J79" s="5">
        <v>46041.836689814816</v>
      </c>
      <c r="K79" s="2" t="s">
        <v>46</v>
      </c>
      <c r="L79" s="2" t="s">
        <v>184</v>
      </c>
      <c r="M79" s="2" t="s">
        <v>65</v>
      </c>
      <c r="N79" s="2" t="s">
        <v>49</v>
      </c>
      <c r="O79" s="2" t="s">
        <v>177</v>
      </c>
      <c r="P79" s="3">
        <v>1756.0</v>
      </c>
      <c r="Q79" s="2" t="s">
        <v>155</v>
      </c>
      <c r="R79" s="2" t="s">
        <v>65</v>
      </c>
      <c r="S79" s="2" t="s">
        <v>122</v>
      </c>
      <c r="T79" s="2" t="s">
        <v>68</v>
      </c>
      <c r="U79" s="2" t="s">
        <v>55</v>
      </c>
      <c r="V79" s="2" t="s">
        <v>69</v>
      </c>
      <c r="W79" s="2" t="s">
        <v>97</v>
      </c>
      <c r="X79" s="3">
        <v>8.0</v>
      </c>
      <c r="Y79" s="2" t="s">
        <v>98</v>
      </c>
      <c r="Z79" s="3">
        <v>23.0</v>
      </c>
      <c r="AA79" s="3">
        <v>15.0</v>
      </c>
      <c r="AB79" s="3">
        <v>8.0</v>
      </c>
      <c r="AC79" s="3">
        <v>14.0</v>
      </c>
      <c r="AD79" s="3">
        <v>6.0</v>
      </c>
      <c r="AE79" s="3">
        <v>8.0</v>
      </c>
      <c r="AF79" s="4">
        <v>46301.0</v>
      </c>
      <c r="AG79" s="3" t="s">
        <v>105</v>
      </c>
      <c r="AH79" s="3">
        <v>6.0</v>
      </c>
      <c r="AI79" s="3">
        <v>0.0</v>
      </c>
      <c r="AJ79" s="3">
        <v>0.0</v>
      </c>
      <c r="AK79" s="3">
        <v>6.0</v>
      </c>
      <c r="AL79" s="3">
        <v>0.0</v>
      </c>
      <c r="AM79" s="3">
        <v>6.0</v>
      </c>
      <c r="AN79" s="3">
        <v>22.0</v>
      </c>
      <c r="AO79" s="3">
        <v>61.11</v>
      </c>
    </row>
    <row r="80">
      <c r="A80" s="2" t="s">
        <v>41</v>
      </c>
      <c r="B80" s="3">
        <v>40059.0</v>
      </c>
      <c r="C80" s="3" t="s">
        <v>60</v>
      </c>
      <c r="D80" s="3" t="s">
        <v>42</v>
      </c>
      <c r="E80" s="2" t="s">
        <v>43</v>
      </c>
      <c r="F80" s="3">
        <v>76993.0</v>
      </c>
      <c r="G80" s="2" t="s">
        <v>342</v>
      </c>
      <c r="H80" s="2" t="s">
        <v>343</v>
      </c>
      <c r="I80" s="3">
        <v>8.278736175E9</v>
      </c>
      <c r="J80" s="5">
        <v>45561.709131944444</v>
      </c>
      <c r="K80" s="2" t="s">
        <v>46</v>
      </c>
      <c r="L80" s="2" t="s">
        <v>306</v>
      </c>
      <c r="M80" s="2" t="s">
        <v>307</v>
      </c>
      <c r="N80" s="2" t="s">
        <v>49</v>
      </c>
      <c r="O80" s="2" t="s">
        <v>128</v>
      </c>
      <c r="P80" s="3">
        <v>308.0</v>
      </c>
      <c r="Q80" s="2" t="s">
        <v>96</v>
      </c>
      <c r="R80" s="2" t="s">
        <v>65</v>
      </c>
      <c r="S80" s="2" t="s">
        <v>67</v>
      </c>
      <c r="T80" s="2" t="s">
        <v>68</v>
      </c>
      <c r="U80" s="2" t="s">
        <v>55</v>
      </c>
      <c r="V80" s="2" t="s">
        <v>69</v>
      </c>
      <c r="W80" s="2" t="s">
        <v>97</v>
      </c>
      <c r="X80" s="3">
        <v>6.0</v>
      </c>
      <c r="Y80" s="2" t="s">
        <v>98</v>
      </c>
      <c r="Z80" s="3">
        <v>105.0</v>
      </c>
      <c r="AA80" s="3">
        <v>54.0</v>
      </c>
      <c r="AB80" s="3">
        <v>51.0</v>
      </c>
      <c r="AC80" s="3">
        <v>104.0</v>
      </c>
      <c r="AD80" s="3">
        <v>54.0</v>
      </c>
      <c r="AE80" s="3">
        <v>50.0</v>
      </c>
      <c r="AF80" s="4">
        <v>46271.0</v>
      </c>
      <c r="AG80" s="3" t="s">
        <v>71</v>
      </c>
      <c r="AH80" s="3">
        <v>7.0</v>
      </c>
      <c r="AI80" s="3">
        <v>0.0</v>
      </c>
      <c r="AJ80" s="3">
        <v>4.0</v>
      </c>
      <c r="AK80" s="3">
        <v>3.0</v>
      </c>
      <c r="AL80" s="3">
        <v>0.0</v>
      </c>
      <c r="AM80" s="3">
        <v>7.0</v>
      </c>
      <c r="AN80" s="3">
        <v>164.0</v>
      </c>
      <c r="AO80" s="3">
        <v>80.79</v>
      </c>
    </row>
    <row r="81">
      <c r="A81" s="2" t="s">
        <v>41</v>
      </c>
      <c r="B81" s="3">
        <v>40452.0</v>
      </c>
      <c r="C81" s="5">
        <v>46193.5</v>
      </c>
      <c r="D81" s="5">
        <v>46477.5</v>
      </c>
      <c r="E81" s="2" t="s">
        <v>43</v>
      </c>
      <c r="F81" s="3">
        <v>86116.0</v>
      </c>
      <c r="G81" s="2" t="s">
        <v>344</v>
      </c>
      <c r="H81" s="2" t="s">
        <v>345</v>
      </c>
      <c r="I81" s="3">
        <v>9.113220304E9</v>
      </c>
      <c r="J81" s="5">
        <v>45925.68168981482</v>
      </c>
      <c r="K81" s="2" t="s">
        <v>46</v>
      </c>
      <c r="L81" s="2" t="s">
        <v>145</v>
      </c>
      <c r="M81" s="2" t="s">
        <v>87</v>
      </c>
      <c r="N81" s="2" t="s">
        <v>49</v>
      </c>
      <c r="O81" s="2" t="s">
        <v>88</v>
      </c>
      <c r="P81" s="3">
        <v>2027.0</v>
      </c>
      <c r="Q81" s="2" t="s">
        <v>129</v>
      </c>
      <c r="R81" s="2" t="s">
        <v>87</v>
      </c>
      <c r="S81" s="2" t="s">
        <v>130</v>
      </c>
      <c r="T81" s="2" t="s">
        <v>131</v>
      </c>
      <c r="U81" s="2" t="s">
        <v>55</v>
      </c>
      <c r="V81" s="2" t="s">
        <v>91</v>
      </c>
      <c r="W81" s="2" t="s">
        <v>57</v>
      </c>
      <c r="X81" s="3">
        <v>5.0</v>
      </c>
      <c r="Y81" s="2" t="s">
        <v>70</v>
      </c>
      <c r="Z81" s="3">
        <v>18.0</v>
      </c>
      <c r="AA81" s="3">
        <v>9.0</v>
      </c>
      <c r="AB81" s="3">
        <v>9.0</v>
      </c>
      <c r="AC81" s="3">
        <v>18.0</v>
      </c>
      <c r="AD81" s="3">
        <v>9.0</v>
      </c>
      <c r="AE81" s="3">
        <v>9.0</v>
      </c>
      <c r="AF81" s="3" t="s">
        <v>186</v>
      </c>
      <c r="AG81" s="3" t="s">
        <v>71</v>
      </c>
      <c r="AH81" s="3">
        <v>3.0</v>
      </c>
      <c r="AI81" s="3">
        <v>0.0</v>
      </c>
      <c r="AJ81" s="3">
        <v>3.0</v>
      </c>
      <c r="AK81" s="3">
        <v>0.0</v>
      </c>
      <c r="AL81" s="3">
        <v>0.0</v>
      </c>
      <c r="AM81" s="3">
        <v>3.0</v>
      </c>
      <c r="AN81" s="3">
        <v>20.0</v>
      </c>
      <c r="AO81" s="3">
        <v>95.24</v>
      </c>
    </row>
    <row r="82">
      <c r="A82" s="2" t="s">
        <v>41</v>
      </c>
      <c r="B82" s="3">
        <v>40453.0</v>
      </c>
      <c r="C82" s="5">
        <v>46193.5</v>
      </c>
      <c r="D82" s="5">
        <v>46477.5</v>
      </c>
      <c r="E82" s="2" t="s">
        <v>43</v>
      </c>
      <c r="F82" s="3">
        <v>86116.0</v>
      </c>
      <c r="G82" s="2" t="s">
        <v>344</v>
      </c>
      <c r="H82" s="2" t="s">
        <v>345</v>
      </c>
      <c r="I82" s="3">
        <v>9.113220304E9</v>
      </c>
      <c r="J82" s="5">
        <v>45925.68168981482</v>
      </c>
      <c r="K82" s="2" t="s">
        <v>46</v>
      </c>
      <c r="L82" s="2" t="s">
        <v>145</v>
      </c>
      <c r="M82" s="2" t="s">
        <v>87</v>
      </c>
      <c r="N82" s="2" t="s">
        <v>49</v>
      </c>
      <c r="O82" s="2" t="s">
        <v>88</v>
      </c>
      <c r="P82" s="3">
        <v>2027.0</v>
      </c>
      <c r="Q82" s="2" t="s">
        <v>129</v>
      </c>
      <c r="R82" s="2" t="s">
        <v>87</v>
      </c>
      <c r="S82" s="2" t="s">
        <v>130</v>
      </c>
      <c r="T82" s="2" t="s">
        <v>131</v>
      </c>
      <c r="U82" s="2" t="s">
        <v>55</v>
      </c>
      <c r="V82" s="2" t="s">
        <v>91</v>
      </c>
      <c r="W82" s="2" t="s">
        <v>57</v>
      </c>
      <c r="X82" s="3">
        <v>6.0</v>
      </c>
      <c r="Y82" s="2" t="s">
        <v>70</v>
      </c>
      <c r="Z82" s="3">
        <v>18.0</v>
      </c>
      <c r="AA82" s="3">
        <v>9.0</v>
      </c>
      <c r="AB82" s="3">
        <v>9.0</v>
      </c>
      <c r="AC82" s="3">
        <v>18.0</v>
      </c>
      <c r="AD82" s="3">
        <v>9.0</v>
      </c>
      <c r="AE82" s="3">
        <v>9.0</v>
      </c>
      <c r="AF82" s="3" t="s">
        <v>186</v>
      </c>
      <c r="AG82" s="3" t="s">
        <v>71</v>
      </c>
      <c r="AH82" s="3">
        <v>3.0</v>
      </c>
      <c r="AI82" s="3">
        <v>0.0</v>
      </c>
      <c r="AJ82" s="3">
        <v>3.0</v>
      </c>
      <c r="AK82" s="3">
        <v>0.0</v>
      </c>
      <c r="AL82" s="3">
        <v>0.0</v>
      </c>
      <c r="AM82" s="3">
        <v>3.0</v>
      </c>
      <c r="AN82" s="3">
        <v>16.0</v>
      </c>
      <c r="AO82" s="3">
        <v>84.21</v>
      </c>
    </row>
    <row r="83">
      <c r="A83" s="2" t="s">
        <v>41</v>
      </c>
      <c r="B83" s="3">
        <v>40058.0</v>
      </c>
      <c r="C83" s="3" t="s">
        <v>60</v>
      </c>
      <c r="D83" s="3" t="s">
        <v>42</v>
      </c>
      <c r="E83" s="2" t="s">
        <v>43</v>
      </c>
      <c r="F83" s="3">
        <v>66939.0</v>
      </c>
      <c r="G83" s="2" t="s">
        <v>346</v>
      </c>
      <c r="H83" s="2" t="s">
        <v>347</v>
      </c>
      <c r="I83" s="3">
        <v>7.407718013E9</v>
      </c>
      <c r="J83" s="5">
        <v>45136.59384259259</v>
      </c>
      <c r="K83" s="2" t="s">
        <v>46</v>
      </c>
      <c r="L83" s="2" t="s">
        <v>86</v>
      </c>
      <c r="M83" s="2" t="s">
        <v>87</v>
      </c>
      <c r="N83" s="2" t="s">
        <v>49</v>
      </c>
      <c r="O83" s="2" t="s">
        <v>50</v>
      </c>
      <c r="P83" s="3">
        <v>308.0</v>
      </c>
      <c r="Q83" s="2" t="s">
        <v>96</v>
      </c>
      <c r="R83" s="2" t="s">
        <v>65</v>
      </c>
      <c r="S83" s="2" t="s">
        <v>67</v>
      </c>
      <c r="T83" s="2" t="s">
        <v>68</v>
      </c>
      <c r="U83" s="2" t="s">
        <v>55</v>
      </c>
      <c r="V83" s="2" t="s">
        <v>69</v>
      </c>
      <c r="W83" s="2" t="s">
        <v>97</v>
      </c>
      <c r="X83" s="3">
        <v>7.0</v>
      </c>
      <c r="Y83" s="2" t="s">
        <v>58</v>
      </c>
      <c r="Z83" s="3">
        <v>105.0</v>
      </c>
      <c r="AA83" s="3">
        <v>54.0</v>
      </c>
      <c r="AB83" s="3">
        <v>51.0</v>
      </c>
      <c r="AC83" s="3">
        <v>104.0</v>
      </c>
      <c r="AD83" s="3">
        <v>54.0</v>
      </c>
      <c r="AE83" s="3">
        <v>50.0</v>
      </c>
      <c r="AF83" s="4">
        <v>46271.0</v>
      </c>
      <c r="AG83" s="3" t="s">
        <v>71</v>
      </c>
      <c r="AH83" s="3">
        <v>7.0</v>
      </c>
      <c r="AI83" s="3">
        <v>0.0</v>
      </c>
      <c r="AJ83" s="3">
        <v>0.0</v>
      </c>
      <c r="AK83" s="3">
        <v>7.0</v>
      </c>
      <c r="AL83" s="3">
        <v>0.0</v>
      </c>
      <c r="AM83" s="3">
        <v>7.0</v>
      </c>
      <c r="AN83" s="3">
        <v>111.0</v>
      </c>
      <c r="AO83" s="3">
        <v>72.08</v>
      </c>
    </row>
    <row r="84">
      <c r="A84" s="2" t="s">
        <v>41</v>
      </c>
      <c r="B84" s="3">
        <v>40047.0</v>
      </c>
      <c r="C84" s="3" t="s">
        <v>60</v>
      </c>
      <c r="D84" s="3" t="s">
        <v>42</v>
      </c>
      <c r="E84" s="2" t="s">
        <v>43</v>
      </c>
      <c r="F84" s="3">
        <v>71989.0</v>
      </c>
      <c r="G84" s="2" t="s">
        <v>348</v>
      </c>
      <c r="H84" s="2" t="s">
        <v>349</v>
      </c>
      <c r="I84" s="3">
        <v>8.83979703E9</v>
      </c>
      <c r="J84" s="5">
        <v>45380.7193287037</v>
      </c>
      <c r="K84" s="2" t="s">
        <v>46</v>
      </c>
      <c r="L84" s="2" t="s">
        <v>350</v>
      </c>
      <c r="M84" s="2" t="s">
        <v>212</v>
      </c>
      <c r="N84" s="2" t="s">
        <v>49</v>
      </c>
      <c r="O84" s="2" t="s">
        <v>351</v>
      </c>
      <c r="P84" s="3">
        <v>226.0</v>
      </c>
      <c r="Q84" s="2" t="s">
        <v>231</v>
      </c>
      <c r="R84" s="2" t="s">
        <v>65</v>
      </c>
      <c r="S84" s="2" t="s">
        <v>67</v>
      </c>
      <c r="T84" s="2" t="s">
        <v>68</v>
      </c>
      <c r="U84" s="2" t="s">
        <v>55</v>
      </c>
      <c r="V84" s="2" t="s">
        <v>69</v>
      </c>
      <c r="W84" s="2" t="s">
        <v>97</v>
      </c>
      <c r="X84" s="3">
        <v>7.0</v>
      </c>
      <c r="Y84" s="2" t="s">
        <v>98</v>
      </c>
      <c r="Z84" s="3">
        <v>81.0</v>
      </c>
      <c r="AA84" s="3">
        <v>34.0</v>
      </c>
      <c r="AB84" s="3">
        <v>47.0</v>
      </c>
      <c r="AC84" s="3">
        <v>81.0</v>
      </c>
      <c r="AD84" s="3">
        <v>34.0</v>
      </c>
      <c r="AE84" s="3">
        <v>47.0</v>
      </c>
      <c r="AF84" s="4">
        <v>46271.0</v>
      </c>
      <c r="AG84" s="3" t="s">
        <v>71</v>
      </c>
      <c r="AH84" s="3">
        <v>6.0</v>
      </c>
      <c r="AI84" s="3">
        <v>0.0</v>
      </c>
      <c r="AJ84" s="3">
        <v>0.0</v>
      </c>
      <c r="AK84" s="3">
        <v>6.0</v>
      </c>
      <c r="AL84" s="3">
        <v>0.0</v>
      </c>
      <c r="AM84" s="3">
        <v>6.0</v>
      </c>
      <c r="AN84" s="3">
        <v>85.0</v>
      </c>
      <c r="AO84" s="3">
        <v>67.46</v>
      </c>
    </row>
    <row r="85">
      <c r="A85" s="2" t="s">
        <v>41</v>
      </c>
      <c r="B85" s="3">
        <v>40221.0</v>
      </c>
      <c r="C85" s="4">
        <v>46026.0</v>
      </c>
      <c r="D85" s="3" t="s">
        <v>42</v>
      </c>
      <c r="E85" s="2" t="s">
        <v>43</v>
      </c>
      <c r="F85" s="3">
        <v>83440.0</v>
      </c>
      <c r="G85" s="2" t="s">
        <v>352</v>
      </c>
      <c r="H85" s="2" t="s">
        <v>353</v>
      </c>
      <c r="I85" s="3">
        <v>6.363179416E9</v>
      </c>
      <c r="J85" s="5">
        <v>45853.65332175926</v>
      </c>
      <c r="K85" s="2" t="s">
        <v>102</v>
      </c>
      <c r="L85" s="2" t="s">
        <v>86</v>
      </c>
      <c r="M85" s="2" t="s">
        <v>87</v>
      </c>
      <c r="N85" s="2" t="s">
        <v>49</v>
      </c>
      <c r="O85" s="2" t="s">
        <v>50</v>
      </c>
      <c r="P85" s="3">
        <v>1984.0</v>
      </c>
      <c r="Q85" s="2" t="s">
        <v>51</v>
      </c>
      <c r="R85" s="2" t="s">
        <v>52</v>
      </c>
      <c r="S85" s="2" t="s">
        <v>53</v>
      </c>
      <c r="T85" s="2" t="s">
        <v>54</v>
      </c>
      <c r="U85" s="2" t="s">
        <v>55</v>
      </c>
      <c r="V85" s="2" t="s">
        <v>56</v>
      </c>
      <c r="W85" s="2" t="s">
        <v>57</v>
      </c>
      <c r="X85" s="3">
        <v>8.0</v>
      </c>
      <c r="Y85" s="2" t="s">
        <v>58</v>
      </c>
      <c r="Z85" s="3">
        <v>41.0</v>
      </c>
      <c r="AA85" s="3">
        <v>23.0</v>
      </c>
      <c r="AB85" s="3">
        <v>18.0</v>
      </c>
      <c r="AC85" s="3">
        <v>41.0</v>
      </c>
      <c r="AD85" s="3">
        <v>23.0</v>
      </c>
      <c r="AE85" s="3">
        <v>18.0</v>
      </c>
      <c r="AF85" s="4">
        <v>46087.0</v>
      </c>
      <c r="AG85" s="3" t="s">
        <v>59</v>
      </c>
      <c r="AH85" s="3">
        <v>7.0</v>
      </c>
      <c r="AI85" s="3">
        <v>0.0</v>
      </c>
      <c r="AJ85" s="3">
        <v>6.0</v>
      </c>
      <c r="AK85" s="3">
        <v>0.0</v>
      </c>
      <c r="AL85" s="3">
        <v>1.0</v>
      </c>
      <c r="AM85" s="3">
        <v>6.0</v>
      </c>
      <c r="AN85" s="3">
        <v>46.0</v>
      </c>
      <c r="AO85" s="3">
        <v>73.02</v>
      </c>
    </row>
    <row r="86">
      <c r="A86" s="2" t="s">
        <v>41</v>
      </c>
      <c r="B86" s="3">
        <v>40061.0</v>
      </c>
      <c r="C86" s="3" t="s">
        <v>60</v>
      </c>
      <c r="D86" s="3" t="s">
        <v>42</v>
      </c>
      <c r="E86" s="2" t="s">
        <v>43</v>
      </c>
      <c r="F86" s="3">
        <v>80140.0</v>
      </c>
      <c r="G86" s="2" t="s">
        <v>354</v>
      </c>
      <c r="H86" s="2" t="s">
        <v>355</v>
      </c>
      <c r="I86" s="3">
        <v>9.437216135E9</v>
      </c>
      <c r="J86" s="5">
        <v>45703.91166666667</v>
      </c>
      <c r="K86" s="2" t="s">
        <v>46</v>
      </c>
      <c r="L86" s="2" t="s">
        <v>103</v>
      </c>
      <c r="M86" s="2" t="s">
        <v>65</v>
      </c>
      <c r="N86" s="2" t="s">
        <v>49</v>
      </c>
      <c r="O86" s="2" t="s">
        <v>161</v>
      </c>
      <c r="P86" s="3">
        <v>253.0</v>
      </c>
      <c r="Q86" s="2" t="s">
        <v>121</v>
      </c>
      <c r="R86" s="2" t="s">
        <v>65</v>
      </c>
      <c r="S86" s="2" t="s">
        <v>122</v>
      </c>
      <c r="T86" s="2" t="s">
        <v>81</v>
      </c>
      <c r="U86" s="2" t="s">
        <v>55</v>
      </c>
      <c r="V86" s="2" t="s">
        <v>69</v>
      </c>
      <c r="W86" s="2" t="s">
        <v>97</v>
      </c>
      <c r="X86" s="3">
        <v>6.0</v>
      </c>
      <c r="Y86" s="2" t="s">
        <v>58</v>
      </c>
      <c r="Z86" s="3">
        <v>64.0</v>
      </c>
      <c r="AA86" s="3">
        <v>31.0</v>
      </c>
      <c r="AB86" s="3">
        <v>33.0</v>
      </c>
      <c r="AC86" s="3">
        <v>62.0</v>
      </c>
      <c r="AD86" s="3">
        <v>31.0</v>
      </c>
      <c r="AE86" s="3">
        <v>31.0</v>
      </c>
      <c r="AF86" s="4">
        <v>46301.0</v>
      </c>
      <c r="AG86" s="3" t="s">
        <v>105</v>
      </c>
      <c r="AH86" s="3">
        <v>6.0</v>
      </c>
      <c r="AI86" s="3">
        <v>0.0</v>
      </c>
      <c r="AJ86" s="3">
        <v>6.0</v>
      </c>
      <c r="AK86" s="3">
        <v>0.0</v>
      </c>
      <c r="AL86" s="3">
        <v>0.0</v>
      </c>
      <c r="AM86" s="3">
        <v>6.0</v>
      </c>
      <c r="AN86" s="3">
        <v>63.0</v>
      </c>
      <c r="AO86" s="3">
        <v>47.73</v>
      </c>
    </row>
    <row r="87">
      <c r="A87" s="2" t="s">
        <v>41</v>
      </c>
      <c r="B87" s="3">
        <v>40444.0</v>
      </c>
      <c r="C87" s="5">
        <v>46193.5</v>
      </c>
      <c r="D87" s="5">
        <v>46477.5</v>
      </c>
      <c r="E87" s="2" t="s">
        <v>43</v>
      </c>
      <c r="F87" s="3">
        <v>89663.0</v>
      </c>
      <c r="G87" s="2" t="s">
        <v>356</v>
      </c>
      <c r="H87" s="2" t="s">
        <v>357</v>
      </c>
      <c r="I87" s="3">
        <v>7.899542249E9</v>
      </c>
      <c r="J87" s="5">
        <v>46131.913622685184</v>
      </c>
      <c r="K87" s="2" t="s">
        <v>46</v>
      </c>
      <c r="L87" s="2" t="s">
        <v>86</v>
      </c>
      <c r="M87" s="2" t="s">
        <v>87</v>
      </c>
      <c r="N87" s="2" t="s">
        <v>49</v>
      </c>
      <c r="O87" s="2" t="s">
        <v>50</v>
      </c>
      <c r="P87" s="3">
        <v>1061.0</v>
      </c>
      <c r="Q87" s="2" t="s">
        <v>89</v>
      </c>
      <c r="R87" s="2" t="s">
        <v>87</v>
      </c>
      <c r="S87" s="2" t="s">
        <v>90</v>
      </c>
      <c r="T87" s="2" t="s">
        <v>81</v>
      </c>
      <c r="U87" s="2" t="s">
        <v>55</v>
      </c>
      <c r="V87" s="2" t="s">
        <v>91</v>
      </c>
      <c r="W87" s="2" t="s">
        <v>115</v>
      </c>
      <c r="X87" s="3">
        <v>6.0</v>
      </c>
      <c r="Y87" s="2" t="s">
        <v>58</v>
      </c>
      <c r="Z87" s="3">
        <v>79.0</v>
      </c>
      <c r="AA87" s="3">
        <v>47.0</v>
      </c>
      <c r="AB87" s="3">
        <v>32.0</v>
      </c>
      <c r="AC87" s="3">
        <v>76.0</v>
      </c>
      <c r="AD87" s="3">
        <v>44.0</v>
      </c>
      <c r="AE87" s="3">
        <v>32.0</v>
      </c>
      <c r="AF87" s="3" t="s">
        <v>142</v>
      </c>
      <c r="AG87" s="3" t="s">
        <v>71</v>
      </c>
      <c r="AH87" s="3">
        <v>4.0</v>
      </c>
      <c r="AI87" s="3">
        <v>0.0</v>
      </c>
      <c r="AJ87" s="3">
        <v>4.0</v>
      </c>
      <c r="AK87" s="3">
        <v>0.0</v>
      </c>
      <c r="AL87" s="3">
        <v>0.0</v>
      </c>
      <c r="AM87" s="3">
        <v>4.0</v>
      </c>
      <c r="AN87" s="3">
        <v>121.0</v>
      </c>
      <c r="AO87" s="3">
        <v>88.97</v>
      </c>
    </row>
    <row r="88">
      <c r="A88" s="2" t="s">
        <v>41</v>
      </c>
      <c r="B88" s="3">
        <v>40450.0</v>
      </c>
      <c r="C88" s="5">
        <v>46193.5</v>
      </c>
      <c r="D88" s="5">
        <v>46477.5</v>
      </c>
      <c r="E88" s="2" t="s">
        <v>43</v>
      </c>
      <c r="F88" s="3">
        <v>55440.0</v>
      </c>
      <c r="G88" s="2" t="s">
        <v>358</v>
      </c>
      <c r="H88" s="2" t="s">
        <v>359</v>
      </c>
      <c r="I88" s="3">
        <v>8.892353514E9</v>
      </c>
      <c r="J88" s="5">
        <v>44568.31239583333</v>
      </c>
      <c r="K88" s="2" t="s">
        <v>46</v>
      </c>
      <c r="L88" s="2" t="s">
        <v>86</v>
      </c>
      <c r="M88" s="2" t="s">
        <v>87</v>
      </c>
      <c r="N88" s="2" t="s">
        <v>49</v>
      </c>
      <c r="O88" s="2" t="s">
        <v>50</v>
      </c>
      <c r="P88" s="3">
        <v>313.0</v>
      </c>
      <c r="Q88" s="2" t="s">
        <v>113</v>
      </c>
      <c r="R88" s="2" t="s">
        <v>87</v>
      </c>
      <c r="S88" s="2" t="s">
        <v>114</v>
      </c>
      <c r="T88" s="2" t="s">
        <v>68</v>
      </c>
      <c r="U88" s="2" t="s">
        <v>55</v>
      </c>
      <c r="V88" s="2" t="s">
        <v>91</v>
      </c>
      <c r="W88" s="2" t="s">
        <v>57</v>
      </c>
      <c r="X88" s="3">
        <v>6.0</v>
      </c>
      <c r="Y88" s="2" t="s">
        <v>70</v>
      </c>
      <c r="Z88" s="3">
        <v>28.0</v>
      </c>
      <c r="AA88" s="3">
        <v>7.0</v>
      </c>
      <c r="AB88" s="3">
        <v>21.0</v>
      </c>
      <c r="AC88" s="3">
        <v>18.0</v>
      </c>
      <c r="AD88" s="3">
        <v>4.0</v>
      </c>
      <c r="AE88" s="3">
        <v>14.0</v>
      </c>
      <c r="AF88" s="3" t="s">
        <v>59</v>
      </c>
      <c r="AG88" s="3" t="s">
        <v>59</v>
      </c>
      <c r="AH88" s="3">
        <v>1.0</v>
      </c>
      <c r="AI88" s="3">
        <v>0.0</v>
      </c>
      <c r="AJ88" s="3">
        <v>1.0</v>
      </c>
      <c r="AK88" s="3">
        <v>0.0</v>
      </c>
      <c r="AL88" s="3">
        <v>0.0</v>
      </c>
      <c r="AM88" s="3">
        <v>1.0</v>
      </c>
      <c r="AN88" s="3">
        <v>4.0</v>
      </c>
      <c r="AO88" s="3">
        <v>80.0</v>
      </c>
    </row>
    <row r="89">
      <c r="A89" s="2" t="s">
        <v>41</v>
      </c>
      <c r="B89" s="3">
        <v>40448.0</v>
      </c>
      <c r="C89" s="5">
        <v>46193.5</v>
      </c>
      <c r="D89" s="5">
        <v>46477.5</v>
      </c>
      <c r="E89" s="2" t="s">
        <v>43</v>
      </c>
      <c r="F89" s="3">
        <v>90968.0</v>
      </c>
      <c r="G89" s="2" t="s">
        <v>360</v>
      </c>
      <c r="H89" s="2" t="s">
        <v>361</v>
      </c>
      <c r="I89" s="3">
        <v>8.277685621E9</v>
      </c>
      <c r="J89" s="5">
        <v>46194.62585648148</v>
      </c>
      <c r="K89" s="2" t="s">
        <v>46</v>
      </c>
      <c r="L89" s="2" t="s">
        <v>86</v>
      </c>
      <c r="M89" s="2" t="s">
        <v>87</v>
      </c>
      <c r="N89" s="2" t="s">
        <v>49</v>
      </c>
      <c r="O89" s="2" t="s">
        <v>50</v>
      </c>
      <c r="P89" s="3">
        <v>38.0</v>
      </c>
      <c r="Q89" s="2" t="s">
        <v>234</v>
      </c>
      <c r="R89" s="2" t="s">
        <v>87</v>
      </c>
      <c r="S89" s="2" t="s">
        <v>208</v>
      </c>
      <c r="T89" s="2" t="s">
        <v>68</v>
      </c>
      <c r="U89" s="2" t="s">
        <v>55</v>
      </c>
      <c r="V89" s="2" t="s">
        <v>91</v>
      </c>
      <c r="W89" s="2" t="s">
        <v>57</v>
      </c>
      <c r="X89" s="3">
        <v>6.0</v>
      </c>
      <c r="Y89" s="2" t="s">
        <v>70</v>
      </c>
      <c r="Z89" s="3">
        <v>63.0</v>
      </c>
      <c r="AA89" s="3">
        <v>35.0</v>
      </c>
      <c r="AB89" s="3">
        <v>28.0</v>
      </c>
      <c r="AC89" s="3">
        <v>62.0</v>
      </c>
      <c r="AD89" s="3">
        <v>35.0</v>
      </c>
      <c r="AE89" s="3">
        <v>27.0</v>
      </c>
      <c r="AF89" s="3" t="s">
        <v>59</v>
      </c>
      <c r="AG89" s="3" t="s">
        <v>93</v>
      </c>
      <c r="AH89" s="3">
        <v>2.0</v>
      </c>
      <c r="AI89" s="3">
        <v>0.0</v>
      </c>
      <c r="AJ89" s="3">
        <v>2.0</v>
      </c>
      <c r="AK89" s="3">
        <v>0.0</v>
      </c>
      <c r="AL89" s="3">
        <v>0.0</v>
      </c>
      <c r="AM89" s="3">
        <v>2.0</v>
      </c>
      <c r="AN89" s="3">
        <v>39.0</v>
      </c>
      <c r="AO89" s="3">
        <v>97.5</v>
      </c>
    </row>
    <row r="90">
      <c r="A90" s="2" t="s">
        <v>41</v>
      </c>
      <c r="B90" s="3">
        <v>40036.0</v>
      </c>
      <c r="C90" s="3" t="s">
        <v>60</v>
      </c>
      <c r="D90" s="3" t="s">
        <v>42</v>
      </c>
      <c r="E90" s="2" t="s">
        <v>43</v>
      </c>
      <c r="F90" s="3">
        <v>89943.0</v>
      </c>
      <c r="G90" s="2" t="s">
        <v>362</v>
      </c>
      <c r="H90" s="2" t="s">
        <v>363</v>
      </c>
      <c r="I90" s="3">
        <v>8.637586651E9</v>
      </c>
      <c r="J90" s="5">
        <v>46137.55422453704</v>
      </c>
      <c r="K90" s="2" t="s">
        <v>46</v>
      </c>
      <c r="L90" s="2" t="s">
        <v>364</v>
      </c>
      <c r="M90" s="2" t="s">
        <v>65</v>
      </c>
      <c r="N90" s="2" t="s">
        <v>49</v>
      </c>
      <c r="O90" s="2" t="s">
        <v>77</v>
      </c>
      <c r="P90" s="3">
        <v>95.0</v>
      </c>
      <c r="Q90" s="2" t="s">
        <v>66</v>
      </c>
      <c r="R90" s="2" t="s">
        <v>65</v>
      </c>
      <c r="S90" s="2" t="s">
        <v>67</v>
      </c>
      <c r="T90" s="2" t="s">
        <v>68</v>
      </c>
      <c r="U90" s="2" t="s">
        <v>55</v>
      </c>
      <c r="V90" s="2" t="s">
        <v>69</v>
      </c>
      <c r="W90" s="2" t="s">
        <v>97</v>
      </c>
      <c r="X90" s="3">
        <v>8.0</v>
      </c>
      <c r="Y90" s="2" t="s">
        <v>98</v>
      </c>
      <c r="Z90" s="3">
        <v>132.0</v>
      </c>
      <c r="AA90" s="3">
        <v>79.0</v>
      </c>
      <c r="AB90" s="3">
        <v>53.0</v>
      </c>
      <c r="AC90" s="3">
        <v>116.0</v>
      </c>
      <c r="AD90" s="3">
        <v>66.0</v>
      </c>
      <c r="AE90" s="3">
        <v>50.0</v>
      </c>
      <c r="AF90" s="3" t="s">
        <v>186</v>
      </c>
      <c r="AG90" s="3" t="s">
        <v>71</v>
      </c>
      <c r="AH90" s="3">
        <v>2.0</v>
      </c>
      <c r="AI90" s="3">
        <v>0.0</v>
      </c>
      <c r="AJ90" s="3">
        <v>2.0</v>
      </c>
      <c r="AK90" s="3">
        <v>0.0</v>
      </c>
      <c r="AL90" s="3">
        <v>0.0</v>
      </c>
      <c r="AM90" s="3">
        <v>2.0</v>
      </c>
      <c r="AN90" s="3">
        <v>48.0</v>
      </c>
      <c r="AO90" s="3">
        <v>58.54</v>
      </c>
    </row>
    <row r="91">
      <c r="A91" s="2" t="s">
        <v>41</v>
      </c>
      <c r="B91" s="3">
        <v>40074.0</v>
      </c>
      <c r="C91" s="3" t="s">
        <v>60</v>
      </c>
      <c r="D91" s="3" t="s">
        <v>42</v>
      </c>
      <c r="E91" s="2" t="s">
        <v>43</v>
      </c>
      <c r="F91" s="3">
        <v>78384.0</v>
      </c>
      <c r="G91" s="2" t="s">
        <v>365</v>
      </c>
      <c r="H91" s="2" t="s">
        <v>366</v>
      </c>
      <c r="I91" s="3">
        <v>8.939670433E9</v>
      </c>
      <c r="J91" s="5">
        <v>45620.605844907404</v>
      </c>
      <c r="K91" s="2" t="s">
        <v>367</v>
      </c>
      <c r="L91" s="2" t="s">
        <v>86</v>
      </c>
      <c r="M91" s="2" t="s">
        <v>87</v>
      </c>
      <c r="N91" s="2" t="s">
        <v>49</v>
      </c>
      <c r="O91" s="2" t="s">
        <v>50</v>
      </c>
      <c r="P91" s="3">
        <v>225.0</v>
      </c>
      <c r="Q91" s="2" t="s">
        <v>185</v>
      </c>
      <c r="R91" s="2" t="s">
        <v>65</v>
      </c>
      <c r="S91" s="2" t="s">
        <v>67</v>
      </c>
      <c r="T91" s="2" t="s">
        <v>68</v>
      </c>
      <c r="U91" s="2" t="s">
        <v>55</v>
      </c>
      <c r="V91" s="2" t="s">
        <v>69</v>
      </c>
      <c r="W91" s="2" t="s">
        <v>97</v>
      </c>
      <c r="X91" s="3">
        <v>8.0</v>
      </c>
      <c r="Y91" s="2" t="s">
        <v>58</v>
      </c>
      <c r="Z91" s="3">
        <v>101.0</v>
      </c>
      <c r="AA91" s="3">
        <v>46.0</v>
      </c>
      <c r="AB91" s="3">
        <v>54.0</v>
      </c>
      <c r="AC91" s="3">
        <v>100.0</v>
      </c>
      <c r="AD91" s="3">
        <v>46.0</v>
      </c>
      <c r="AE91" s="3">
        <v>54.0</v>
      </c>
      <c r="AF91" s="4">
        <v>46271.0</v>
      </c>
      <c r="AG91" s="3" t="s">
        <v>71</v>
      </c>
      <c r="AH91" s="3">
        <v>7.0</v>
      </c>
      <c r="AI91" s="3">
        <v>0.0</v>
      </c>
      <c r="AJ91" s="3">
        <v>4.0</v>
      </c>
      <c r="AK91" s="3">
        <v>0.0</v>
      </c>
      <c r="AL91" s="3">
        <v>3.0</v>
      </c>
      <c r="AM91" s="3">
        <v>4.0</v>
      </c>
      <c r="AN91" s="3">
        <v>89.0</v>
      </c>
      <c r="AO91" s="3">
        <v>50.57</v>
      </c>
    </row>
    <row r="92">
      <c r="A92" s="2" t="s">
        <v>41</v>
      </c>
      <c r="B92" s="3">
        <v>40172.0</v>
      </c>
      <c r="C92" s="4">
        <v>46267.0</v>
      </c>
      <c r="D92" s="3" t="s">
        <v>42</v>
      </c>
      <c r="E92" s="2" t="s">
        <v>237</v>
      </c>
      <c r="F92" s="3">
        <v>88486.0</v>
      </c>
      <c r="G92" s="2" t="s">
        <v>368</v>
      </c>
      <c r="H92" s="2" t="s">
        <v>369</v>
      </c>
      <c r="I92" s="3">
        <v>7.029619166E9</v>
      </c>
      <c r="J92" s="5">
        <v>46057.84670138889</v>
      </c>
      <c r="K92" s="2" t="s">
        <v>46</v>
      </c>
      <c r="L92" s="2" t="s">
        <v>370</v>
      </c>
      <c r="M92" s="2" t="s">
        <v>65</v>
      </c>
      <c r="N92" s="2" t="s">
        <v>49</v>
      </c>
      <c r="O92" s="2" t="s">
        <v>108</v>
      </c>
      <c r="P92" s="3">
        <v>316.0</v>
      </c>
      <c r="Q92" s="2" t="s">
        <v>104</v>
      </c>
      <c r="R92" s="2" t="s">
        <v>65</v>
      </c>
      <c r="S92" s="2" t="s">
        <v>67</v>
      </c>
      <c r="T92" s="2" t="s">
        <v>68</v>
      </c>
      <c r="U92" s="2" t="s">
        <v>55</v>
      </c>
      <c r="V92" s="2" t="s">
        <v>69</v>
      </c>
      <c r="W92" s="2" t="s">
        <v>57</v>
      </c>
      <c r="X92" s="3">
        <v>6.0</v>
      </c>
      <c r="Y92" s="2" t="s">
        <v>70</v>
      </c>
      <c r="Z92" s="3">
        <v>43.0</v>
      </c>
      <c r="AA92" s="3">
        <v>24.0</v>
      </c>
      <c r="AB92" s="3">
        <v>19.0</v>
      </c>
      <c r="AC92" s="3">
        <v>43.0</v>
      </c>
      <c r="AD92" s="3">
        <v>24.0</v>
      </c>
      <c r="AE92" s="3">
        <v>19.0</v>
      </c>
      <c r="AF92" s="4">
        <v>46301.0</v>
      </c>
      <c r="AG92" s="3" t="s">
        <v>105</v>
      </c>
      <c r="AH92" s="3">
        <v>6.0</v>
      </c>
      <c r="AI92" s="3">
        <v>0.0</v>
      </c>
      <c r="AJ92" s="3">
        <v>5.0</v>
      </c>
      <c r="AK92" s="3">
        <v>1.0</v>
      </c>
      <c r="AL92" s="3">
        <v>0.0</v>
      </c>
      <c r="AM92" s="3">
        <v>6.0</v>
      </c>
      <c r="AN92" s="3">
        <v>33.0</v>
      </c>
      <c r="AO92" s="3">
        <v>68.75</v>
      </c>
    </row>
    <row r="93">
      <c r="A93" s="2" t="s">
        <v>41</v>
      </c>
      <c r="B93" s="3">
        <v>40182.0</v>
      </c>
      <c r="C93" s="3" t="s">
        <v>189</v>
      </c>
      <c r="D93" s="3" t="s">
        <v>42</v>
      </c>
      <c r="E93" s="2" t="s">
        <v>43</v>
      </c>
      <c r="F93" s="3">
        <v>88514.0</v>
      </c>
      <c r="G93" s="2" t="s">
        <v>371</v>
      </c>
      <c r="H93" s="2" t="s">
        <v>372</v>
      </c>
      <c r="I93" s="3">
        <v>7.0030085E9</v>
      </c>
      <c r="J93" s="5">
        <v>46059.75858796296</v>
      </c>
      <c r="K93" s="2" t="s">
        <v>46</v>
      </c>
      <c r="L93" s="2" t="s">
        <v>199</v>
      </c>
      <c r="M93" s="2" t="s">
        <v>65</v>
      </c>
      <c r="N93" s="2" t="s">
        <v>49</v>
      </c>
      <c r="O93" s="2" t="s">
        <v>88</v>
      </c>
      <c r="P93" s="3">
        <v>2051.0</v>
      </c>
      <c r="Q93" s="2" t="s">
        <v>190</v>
      </c>
      <c r="R93" s="2" t="s">
        <v>65</v>
      </c>
      <c r="S93" s="2" t="s">
        <v>122</v>
      </c>
      <c r="T93" s="6"/>
      <c r="U93" s="2" t="s">
        <v>55</v>
      </c>
      <c r="V93" s="2" t="s">
        <v>69</v>
      </c>
      <c r="W93" s="2" t="s">
        <v>97</v>
      </c>
      <c r="X93" s="3">
        <v>8.0</v>
      </c>
      <c r="Y93" s="2" t="s">
        <v>98</v>
      </c>
      <c r="Z93" s="3">
        <v>91.0</v>
      </c>
      <c r="AA93" s="3">
        <v>44.0</v>
      </c>
      <c r="AB93" s="3">
        <v>47.0</v>
      </c>
      <c r="AC93" s="3">
        <v>91.0</v>
      </c>
      <c r="AD93" s="3">
        <v>44.0</v>
      </c>
      <c r="AE93" s="3">
        <v>47.0</v>
      </c>
      <c r="AF93" s="3" t="s">
        <v>142</v>
      </c>
      <c r="AG93" s="3" t="s">
        <v>105</v>
      </c>
      <c r="AH93" s="3">
        <v>3.0</v>
      </c>
      <c r="AI93" s="3">
        <v>0.0</v>
      </c>
      <c r="AJ93" s="3">
        <v>3.0</v>
      </c>
      <c r="AK93" s="3">
        <v>0.0</v>
      </c>
      <c r="AL93" s="3">
        <v>0.0</v>
      </c>
      <c r="AM93" s="3">
        <v>3.0</v>
      </c>
      <c r="AN93" s="3">
        <v>41.0</v>
      </c>
      <c r="AO93" s="3">
        <v>54.67</v>
      </c>
    </row>
    <row r="94">
      <c r="A94" s="2" t="s">
        <v>41</v>
      </c>
      <c r="B94" s="3">
        <v>40261.0</v>
      </c>
      <c r="C94" s="3" t="s">
        <v>220</v>
      </c>
      <c r="D94" s="3" t="s">
        <v>42</v>
      </c>
      <c r="E94" s="2" t="s">
        <v>43</v>
      </c>
      <c r="F94" s="3">
        <v>79536.0</v>
      </c>
      <c r="G94" s="2" t="s">
        <v>373</v>
      </c>
      <c r="H94" s="2" t="s">
        <v>374</v>
      </c>
      <c r="I94" s="3">
        <v>9.451057829E9</v>
      </c>
      <c r="J94" s="5">
        <v>45665.45725694444</v>
      </c>
      <c r="K94" s="2" t="s">
        <v>375</v>
      </c>
      <c r="L94" s="2" t="s">
        <v>376</v>
      </c>
      <c r="M94" s="2" t="s">
        <v>76</v>
      </c>
      <c r="N94" s="2" t="s">
        <v>49</v>
      </c>
      <c r="O94" s="2" t="s">
        <v>216</v>
      </c>
      <c r="P94" s="3">
        <v>1984.0</v>
      </c>
      <c r="Q94" s="2" t="s">
        <v>51</v>
      </c>
      <c r="R94" s="2" t="s">
        <v>52</v>
      </c>
      <c r="S94" s="2" t="s">
        <v>53</v>
      </c>
      <c r="T94" s="2" t="s">
        <v>54</v>
      </c>
      <c r="U94" s="2" t="s">
        <v>55</v>
      </c>
      <c r="V94" s="2" t="s">
        <v>56</v>
      </c>
      <c r="W94" s="2" t="s">
        <v>57</v>
      </c>
      <c r="X94" s="3">
        <v>8.0</v>
      </c>
      <c r="Y94" s="2" t="s">
        <v>98</v>
      </c>
      <c r="Z94" s="3">
        <v>41.0</v>
      </c>
      <c r="AA94" s="3">
        <v>23.0</v>
      </c>
      <c r="AB94" s="3">
        <v>18.0</v>
      </c>
      <c r="AC94" s="3">
        <v>41.0</v>
      </c>
      <c r="AD94" s="3">
        <v>23.0</v>
      </c>
      <c r="AE94" s="3">
        <v>18.0</v>
      </c>
      <c r="AF94" s="4">
        <v>46059.0</v>
      </c>
      <c r="AG94" s="3" t="s">
        <v>71</v>
      </c>
      <c r="AH94" s="3">
        <v>8.0</v>
      </c>
      <c r="AI94" s="3">
        <v>0.0</v>
      </c>
      <c r="AJ94" s="3">
        <v>8.0</v>
      </c>
      <c r="AK94" s="3">
        <v>0.0</v>
      </c>
      <c r="AL94" s="3">
        <v>0.0</v>
      </c>
      <c r="AM94" s="3">
        <v>8.0</v>
      </c>
      <c r="AN94" s="3">
        <v>63.0</v>
      </c>
      <c r="AO94" s="3">
        <v>87.5</v>
      </c>
    </row>
    <row r="95">
      <c r="A95" s="2" t="s">
        <v>41</v>
      </c>
      <c r="B95" s="3">
        <v>40217.0</v>
      </c>
      <c r="C95" s="4">
        <v>46026.0</v>
      </c>
      <c r="D95" s="3" t="s">
        <v>42</v>
      </c>
      <c r="E95" s="2" t="s">
        <v>43</v>
      </c>
      <c r="F95" s="3">
        <v>90024.0</v>
      </c>
      <c r="G95" s="2" t="s">
        <v>377</v>
      </c>
      <c r="H95" s="2" t="s">
        <v>378</v>
      </c>
      <c r="I95" s="3">
        <v>9.555854551E9</v>
      </c>
      <c r="J95" s="5">
        <v>46141.99994212963</v>
      </c>
      <c r="K95" s="2" t="s">
        <v>46</v>
      </c>
      <c r="L95" s="2" t="s">
        <v>379</v>
      </c>
      <c r="M95" s="2" t="s">
        <v>79</v>
      </c>
      <c r="N95" s="2" t="s">
        <v>49</v>
      </c>
      <c r="O95" s="2" t="s">
        <v>108</v>
      </c>
      <c r="P95" s="3">
        <v>1984.0</v>
      </c>
      <c r="Q95" s="2" t="s">
        <v>51</v>
      </c>
      <c r="R95" s="2" t="s">
        <v>52</v>
      </c>
      <c r="S95" s="2" t="s">
        <v>53</v>
      </c>
      <c r="T95" s="2" t="s">
        <v>54</v>
      </c>
      <c r="U95" s="2" t="s">
        <v>55</v>
      </c>
      <c r="V95" s="2" t="s">
        <v>56</v>
      </c>
      <c r="W95" s="2" t="s">
        <v>57</v>
      </c>
      <c r="X95" s="3">
        <v>6.0</v>
      </c>
      <c r="Y95" s="2" t="s">
        <v>58</v>
      </c>
      <c r="Z95" s="3">
        <v>41.0</v>
      </c>
      <c r="AA95" s="3">
        <v>23.0</v>
      </c>
      <c r="AB95" s="3">
        <v>18.0</v>
      </c>
      <c r="AC95" s="3">
        <v>41.0</v>
      </c>
      <c r="AD95" s="3">
        <v>23.0</v>
      </c>
      <c r="AE95" s="3">
        <v>18.0</v>
      </c>
      <c r="AF95" s="4">
        <v>46059.0</v>
      </c>
      <c r="AG95" s="3" t="s">
        <v>71</v>
      </c>
      <c r="AH95" s="3">
        <v>8.0</v>
      </c>
      <c r="AI95" s="3">
        <v>0.0</v>
      </c>
      <c r="AJ95" s="3">
        <v>8.0</v>
      </c>
      <c r="AK95" s="3">
        <v>0.0</v>
      </c>
      <c r="AL95" s="3">
        <v>0.0</v>
      </c>
      <c r="AM95" s="3">
        <v>8.0</v>
      </c>
      <c r="AN95" s="3">
        <v>69.0</v>
      </c>
      <c r="AO95" s="3">
        <v>66.35</v>
      </c>
    </row>
    <row r="96">
      <c r="A96" s="2" t="s">
        <v>41</v>
      </c>
      <c r="B96" s="3">
        <v>40440.0</v>
      </c>
      <c r="C96" s="3" t="s">
        <v>83</v>
      </c>
      <c r="D96" s="3" t="s">
        <v>72</v>
      </c>
      <c r="E96" s="2" t="s">
        <v>43</v>
      </c>
      <c r="F96" s="3">
        <v>64106.0</v>
      </c>
      <c r="G96" s="2" t="s">
        <v>380</v>
      </c>
      <c r="H96" s="2" t="s">
        <v>381</v>
      </c>
      <c r="I96" s="3">
        <v>9.676684116E9</v>
      </c>
      <c r="J96" s="5">
        <v>45072.04671296296</v>
      </c>
      <c r="K96" s="2" t="s">
        <v>382</v>
      </c>
      <c r="L96" s="2" t="s">
        <v>86</v>
      </c>
      <c r="M96" s="2" t="s">
        <v>87</v>
      </c>
      <c r="N96" s="2" t="s">
        <v>49</v>
      </c>
      <c r="O96" s="2" t="s">
        <v>50</v>
      </c>
      <c r="P96" s="3">
        <v>38.0</v>
      </c>
      <c r="Q96" s="2" t="s">
        <v>234</v>
      </c>
      <c r="R96" s="2" t="s">
        <v>87</v>
      </c>
      <c r="S96" s="2" t="s">
        <v>208</v>
      </c>
      <c r="T96" s="2" t="s">
        <v>68</v>
      </c>
      <c r="U96" s="2" t="s">
        <v>55</v>
      </c>
      <c r="V96" s="2" t="s">
        <v>91</v>
      </c>
      <c r="W96" s="2" t="s">
        <v>57</v>
      </c>
      <c r="X96" s="3">
        <v>5.0</v>
      </c>
      <c r="Y96" s="2" t="s">
        <v>70</v>
      </c>
      <c r="Z96" s="3">
        <v>63.0</v>
      </c>
      <c r="AA96" s="3">
        <v>35.0</v>
      </c>
      <c r="AB96" s="3">
        <v>28.0</v>
      </c>
      <c r="AC96" s="3">
        <v>62.0</v>
      </c>
      <c r="AD96" s="3">
        <v>35.0</v>
      </c>
      <c r="AE96" s="3">
        <v>27.0</v>
      </c>
      <c r="AF96" s="3" t="s">
        <v>142</v>
      </c>
      <c r="AG96" s="3" t="s">
        <v>71</v>
      </c>
      <c r="AH96" s="3">
        <v>4.0</v>
      </c>
      <c r="AI96" s="3">
        <v>0.0</v>
      </c>
      <c r="AJ96" s="3">
        <v>2.0</v>
      </c>
      <c r="AK96" s="3">
        <v>2.0</v>
      </c>
      <c r="AL96" s="3">
        <v>0.0</v>
      </c>
      <c r="AM96" s="3">
        <v>4.0</v>
      </c>
      <c r="AN96" s="3">
        <v>76.0</v>
      </c>
      <c r="AO96" s="3">
        <v>82.61</v>
      </c>
    </row>
    <row r="97">
      <c r="A97" s="2" t="s">
        <v>41</v>
      </c>
      <c r="B97" s="3">
        <v>40572.0</v>
      </c>
      <c r="C97" s="5">
        <v>46200.5</v>
      </c>
      <c r="D97" s="5">
        <v>46477.5</v>
      </c>
      <c r="E97" s="2" t="s">
        <v>43</v>
      </c>
      <c r="F97" s="3">
        <v>86578.0</v>
      </c>
      <c r="G97" s="2" t="s">
        <v>383</v>
      </c>
      <c r="H97" s="2" t="s">
        <v>384</v>
      </c>
      <c r="I97" s="2">
        <v>7.204750709E9</v>
      </c>
      <c r="J97" s="5">
        <v>45957.65827546296</v>
      </c>
      <c r="K97" s="2" t="s">
        <v>46</v>
      </c>
      <c r="L97" s="2" t="s">
        <v>86</v>
      </c>
      <c r="M97" s="2" t="s">
        <v>87</v>
      </c>
      <c r="N97" s="2" t="s">
        <v>49</v>
      </c>
      <c r="O97" s="2" t="s">
        <v>88</v>
      </c>
      <c r="P97" s="3">
        <v>147.0</v>
      </c>
      <c r="Q97" s="2" t="s">
        <v>207</v>
      </c>
      <c r="R97" s="2" t="s">
        <v>87</v>
      </c>
      <c r="S97" s="2" t="s">
        <v>208</v>
      </c>
      <c r="T97" s="2" t="s">
        <v>206</v>
      </c>
      <c r="U97" s="2" t="s">
        <v>55</v>
      </c>
      <c r="V97" s="2" t="s">
        <v>91</v>
      </c>
      <c r="W97" s="2" t="s">
        <v>115</v>
      </c>
      <c r="X97" s="3">
        <v>7.0</v>
      </c>
      <c r="Y97" s="2" t="s">
        <v>98</v>
      </c>
      <c r="Z97" s="3">
        <v>79.0</v>
      </c>
      <c r="AA97" s="3">
        <v>35.0</v>
      </c>
      <c r="AB97" s="3">
        <v>44.0</v>
      </c>
      <c r="AC97" s="3">
        <v>79.0</v>
      </c>
      <c r="AD97" s="3">
        <v>35.0</v>
      </c>
      <c r="AE97" s="3">
        <v>44.0</v>
      </c>
      <c r="AF97" s="3" t="s">
        <v>71</v>
      </c>
      <c r="AG97" s="3" t="s">
        <v>71</v>
      </c>
      <c r="AH97" s="3">
        <v>1.0</v>
      </c>
      <c r="AI97" s="3">
        <v>0.0</v>
      </c>
      <c r="AJ97" s="3">
        <v>1.0</v>
      </c>
      <c r="AK97" s="3">
        <v>0.0</v>
      </c>
      <c r="AL97" s="3">
        <v>0.0</v>
      </c>
      <c r="AM97" s="3">
        <v>1.0</v>
      </c>
      <c r="AN97" s="3">
        <v>20.0</v>
      </c>
      <c r="AO97" s="3">
        <v>86.96</v>
      </c>
    </row>
  </sheetData>
  <mergeCells count="7">
    <mergeCell ref="R49:S49"/>
    <mergeCell ref="R50:S50"/>
    <mergeCell ref="R51:S51"/>
    <mergeCell ref="R52:S52"/>
    <mergeCell ref="R53:S53"/>
    <mergeCell ref="R54:S54"/>
    <mergeCell ref="J78:K78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385</v>
      </c>
      <c r="B1" s="1" t="s">
        <v>386</v>
      </c>
      <c r="C1" s="1" t="s">
        <v>387</v>
      </c>
      <c r="D1" s="1" t="s">
        <v>8</v>
      </c>
      <c r="E1" s="1" t="s">
        <v>388</v>
      </c>
      <c r="F1" s="1" t="s">
        <v>10</v>
      </c>
      <c r="G1" s="1" t="s">
        <v>389</v>
      </c>
      <c r="H1" s="1" t="s">
        <v>390</v>
      </c>
      <c r="I1" s="1" t="s">
        <v>391</v>
      </c>
      <c r="J1" s="1" t="s">
        <v>392</v>
      </c>
      <c r="K1" s="1" t="s">
        <v>393</v>
      </c>
      <c r="L1" s="1" t="s">
        <v>394</v>
      </c>
      <c r="M1" s="1" t="s">
        <v>395</v>
      </c>
      <c r="N1" s="1" t="s">
        <v>396</v>
      </c>
      <c r="O1" s="1" t="s">
        <v>34</v>
      </c>
      <c r="P1" s="1" t="s">
        <v>35</v>
      </c>
      <c r="Q1" s="1" t="s">
        <v>36</v>
      </c>
      <c r="R1" s="1" t="s">
        <v>37</v>
      </c>
    </row>
    <row r="2">
      <c r="A2" s="3">
        <v>48315.0</v>
      </c>
      <c r="B2" s="2" t="s">
        <v>333</v>
      </c>
      <c r="C2" s="2" t="s">
        <v>334</v>
      </c>
      <c r="D2" s="3">
        <v>9.353205511E9</v>
      </c>
      <c r="E2" s="2" t="s">
        <v>87</v>
      </c>
      <c r="F2" s="2" t="s">
        <v>46</v>
      </c>
      <c r="G2" s="7">
        <v>46332.464583333334</v>
      </c>
      <c r="H2" s="3" t="s">
        <v>397</v>
      </c>
      <c r="I2" s="3">
        <v>40438.0</v>
      </c>
      <c r="J2" s="2" t="s">
        <v>398</v>
      </c>
      <c r="K2" s="2" t="s">
        <v>399</v>
      </c>
      <c r="L2" s="3">
        <v>1.0</v>
      </c>
      <c r="M2" s="3">
        <v>1.0</v>
      </c>
      <c r="N2" s="3">
        <v>48315.0</v>
      </c>
      <c r="O2" s="3">
        <v>0.0</v>
      </c>
      <c r="P2" s="3">
        <v>19.0</v>
      </c>
      <c r="Q2" s="3">
        <v>1.0</v>
      </c>
      <c r="R2" s="3">
        <v>0.0</v>
      </c>
    </row>
    <row r="3">
      <c r="A3" s="3">
        <v>58139.0</v>
      </c>
      <c r="B3" s="2" t="s">
        <v>156</v>
      </c>
      <c r="C3" s="2" t="s">
        <v>157</v>
      </c>
      <c r="D3" s="3">
        <v>8.097730036E9</v>
      </c>
      <c r="E3" s="2" t="s">
        <v>65</v>
      </c>
      <c r="F3" s="2" t="s">
        <v>158</v>
      </c>
      <c r="G3" s="3" t="s">
        <v>400</v>
      </c>
      <c r="H3" s="7">
        <v>46362.0</v>
      </c>
      <c r="I3" s="3">
        <v>40065.0</v>
      </c>
      <c r="J3" s="2" t="s">
        <v>401</v>
      </c>
      <c r="K3" s="2" t="s">
        <v>402</v>
      </c>
      <c r="L3" s="3">
        <v>1.0</v>
      </c>
      <c r="M3" s="3">
        <v>1.0</v>
      </c>
      <c r="N3" s="3">
        <v>58139.0</v>
      </c>
      <c r="O3" s="3">
        <v>0.0</v>
      </c>
      <c r="P3" s="3">
        <v>54.0</v>
      </c>
      <c r="Q3" s="3">
        <v>4.0</v>
      </c>
      <c r="R3" s="3">
        <v>3.0</v>
      </c>
    </row>
    <row r="4">
      <c r="A4" s="3">
        <v>65016.0</v>
      </c>
      <c r="B4" s="2" t="s">
        <v>403</v>
      </c>
      <c r="C4" s="2" t="s">
        <v>404</v>
      </c>
      <c r="D4" s="3">
        <v>7.032134017E9</v>
      </c>
      <c r="E4" s="2" t="s">
        <v>65</v>
      </c>
      <c r="F4" s="2" t="s">
        <v>46</v>
      </c>
      <c r="G4" s="3" t="s">
        <v>405</v>
      </c>
      <c r="H4" s="7">
        <v>46362.0</v>
      </c>
      <c r="I4" s="3">
        <v>40049.0</v>
      </c>
      <c r="J4" s="2" t="s">
        <v>406</v>
      </c>
      <c r="K4" s="2" t="s">
        <v>407</v>
      </c>
      <c r="L4" s="3">
        <v>1.0</v>
      </c>
      <c r="M4" s="6"/>
      <c r="N4" s="3">
        <v>65016.0</v>
      </c>
      <c r="O4" s="3">
        <v>0.0</v>
      </c>
      <c r="P4" s="3">
        <v>39.0</v>
      </c>
      <c r="Q4" s="3">
        <v>11.0</v>
      </c>
      <c r="R4" s="3">
        <v>1.0</v>
      </c>
    </row>
    <row r="5">
      <c r="A5" s="3">
        <v>75632.0</v>
      </c>
      <c r="B5" s="2" t="s">
        <v>408</v>
      </c>
      <c r="C5" s="2" t="s">
        <v>409</v>
      </c>
      <c r="D5" s="3">
        <v>7.595832513E9</v>
      </c>
      <c r="E5" s="2" t="s">
        <v>65</v>
      </c>
      <c r="F5" s="2" t="s">
        <v>46</v>
      </c>
      <c r="G5" s="3" t="s">
        <v>410</v>
      </c>
      <c r="H5" s="7">
        <v>46362.0</v>
      </c>
      <c r="I5" s="3">
        <v>40036.0</v>
      </c>
      <c r="J5" s="2" t="s">
        <v>411</v>
      </c>
      <c r="K5" s="2" t="s">
        <v>399</v>
      </c>
      <c r="L5" s="3">
        <v>1.0</v>
      </c>
      <c r="M5" s="3">
        <v>1.0</v>
      </c>
      <c r="N5" s="3">
        <v>75632.0</v>
      </c>
      <c r="O5" s="3">
        <v>0.0</v>
      </c>
      <c r="P5" s="3">
        <v>22.0</v>
      </c>
      <c r="Q5" s="3">
        <v>6.0</v>
      </c>
      <c r="R5" s="3">
        <v>0.0</v>
      </c>
    </row>
    <row r="6">
      <c r="A6" s="3">
        <v>84960.0</v>
      </c>
      <c r="B6" s="2" t="s">
        <v>238</v>
      </c>
      <c r="C6" s="2" t="s">
        <v>239</v>
      </c>
      <c r="D6" s="3">
        <v>9.833261082E9</v>
      </c>
      <c r="E6" s="2" t="s">
        <v>65</v>
      </c>
      <c r="F6" s="2" t="s">
        <v>46</v>
      </c>
      <c r="G6" s="3" t="s">
        <v>412</v>
      </c>
      <c r="H6" s="7">
        <v>46362.0</v>
      </c>
      <c r="I6" s="3">
        <v>40043.0</v>
      </c>
      <c r="J6" s="2" t="s">
        <v>413</v>
      </c>
      <c r="K6" s="2" t="s">
        <v>407</v>
      </c>
      <c r="L6" s="3">
        <v>1.0</v>
      </c>
      <c r="M6" s="6"/>
      <c r="N6" s="6"/>
      <c r="O6" s="6"/>
      <c r="P6" s="6"/>
      <c r="Q6" s="6"/>
      <c r="R6" s="6"/>
    </row>
    <row r="7">
      <c r="A7" s="3">
        <v>87997.0</v>
      </c>
      <c r="B7" s="2" t="s">
        <v>291</v>
      </c>
      <c r="C7" s="2" t="s">
        <v>292</v>
      </c>
      <c r="D7" s="3">
        <v>8.617829447E9</v>
      </c>
      <c r="E7" s="2" t="s">
        <v>65</v>
      </c>
      <c r="F7" s="2" t="s">
        <v>46</v>
      </c>
      <c r="G7" s="3" t="s">
        <v>414</v>
      </c>
      <c r="H7" s="7">
        <v>46362.0</v>
      </c>
      <c r="I7" s="3">
        <v>40131.0</v>
      </c>
      <c r="J7" s="2" t="s">
        <v>415</v>
      </c>
      <c r="K7" s="2" t="s">
        <v>416</v>
      </c>
      <c r="L7" s="3">
        <v>1.0</v>
      </c>
      <c r="M7" s="6"/>
      <c r="N7" s="6"/>
      <c r="O7" s="6"/>
      <c r="P7" s="6"/>
      <c r="Q7" s="6"/>
      <c r="R7" s="6"/>
    </row>
    <row r="8">
      <c r="A8" s="3">
        <v>88194.0</v>
      </c>
      <c r="B8" s="2" t="s">
        <v>340</v>
      </c>
      <c r="C8" s="2" t="s">
        <v>341</v>
      </c>
      <c r="D8" s="3">
        <v>8.900546143E9</v>
      </c>
      <c r="E8" s="2" t="s">
        <v>65</v>
      </c>
      <c r="F8" s="2" t="s">
        <v>46</v>
      </c>
      <c r="G8" s="7">
        <v>46144.5625</v>
      </c>
      <c r="H8" s="3" t="s">
        <v>417</v>
      </c>
      <c r="I8" s="3">
        <v>40130.0</v>
      </c>
      <c r="J8" s="2" t="s">
        <v>418</v>
      </c>
      <c r="K8" s="2" t="s">
        <v>419</v>
      </c>
      <c r="L8" s="3">
        <v>1.0</v>
      </c>
      <c r="M8" s="6"/>
      <c r="N8" s="6"/>
      <c r="O8" s="6"/>
      <c r="P8" s="6"/>
      <c r="Q8" s="6"/>
      <c r="R8" s="6"/>
    </row>
    <row r="9">
      <c r="A9" s="3">
        <v>88486.0</v>
      </c>
      <c r="B9" s="2" t="s">
        <v>368</v>
      </c>
      <c r="C9" s="2" t="s">
        <v>369</v>
      </c>
      <c r="D9" s="3">
        <v>7.029619166E9</v>
      </c>
      <c r="E9" s="2" t="s">
        <v>65</v>
      </c>
      <c r="F9" s="2" t="s">
        <v>46</v>
      </c>
      <c r="G9" s="7">
        <v>46267.58263888889</v>
      </c>
      <c r="H9" s="3" t="s">
        <v>417</v>
      </c>
      <c r="I9" s="3">
        <v>40172.0</v>
      </c>
      <c r="J9" s="2" t="s">
        <v>420</v>
      </c>
      <c r="K9" s="2" t="s">
        <v>421</v>
      </c>
      <c r="L9" s="3">
        <v>1.0</v>
      </c>
      <c r="M9" s="6"/>
      <c r="N9" s="6"/>
      <c r="O9" s="6"/>
      <c r="P9" s="6"/>
      <c r="Q9" s="6"/>
      <c r="R9" s="6"/>
    </row>
    <row r="10">
      <c r="A10" s="3">
        <v>89572.0</v>
      </c>
      <c r="B10" s="2" t="s">
        <v>422</v>
      </c>
      <c r="C10" s="2" t="s">
        <v>423</v>
      </c>
      <c r="D10" s="3">
        <v>9.538167967E9</v>
      </c>
      <c r="E10" s="2" t="s">
        <v>79</v>
      </c>
      <c r="F10" s="2" t="s">
        <v>46</v>
      </c>
      <c r="G10" s="3" t="s">
        <v>424</v>
      </c>
      <c r="H10" s="3" t="s">
        <v>425</v>
      </c>
      <c r="I10" s="3">
        <v>40308.0</v>
      </c>
      <c r="J10" s="2" t="s">
        <v>426</v>
      </c>
      <c r="K10" s="2" t="s">
        <v>421</v>
      </c>
      <c r="L10" s="3">
        <v>1.0</v>
      </c>
      <c r="M10" s="6"/>
      <c r="N10" s="6"/>
      <c r="O10" s="6"/>
      <c r="P10" s="6"/>
      <c r="Q10" s="6"/>
      <c r="R10" s="6"/>
    </row>
    <row r="11">
      <c r="A11" s="3">
        <v>90968.0</v>
      </c>
      <c r="B11" s="2" t="s">
        <v>360</v>
      </c>
      <c r="C11" s="2" t="s">
        <v>361</v>
      </c>
      <c r="D11" s="3">
        <v>8.277685621E9</v>
      </c>
      <c r="E11" s="2" t="s">
        <v>87</v>
      </c>
      <c r="F11" s="2" t="s">
        <v>46</v>
      </c>
      <c r="G11" s="3" t="s">
        <v>427</v>
      </c>
      <c r="H11" s="3" t="s">
        <v>417</v>
      </c>
      <c r="I11" s="3">
        <v>40448.0</v>
      </c>
      <c r="J11" s="2" t="s">
        <v>428</v>
      </c>
      <c r="K11" s="2" t="s">
        <v>419</v>
      </c>
      <c r="L11" s="3">
        <v>1.0</v>
      </c>
      <c r="M11" s="6"/>
      <c r="N11" s="6"/>
      <c r="O11" s="6"/>
      <c r="P11" s="6"/>
      <c r="Q11" s="6"/>
      <c r="R11" s="6"/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8" max="18" width="22.75"/>
  </cols>
  <sheetData>
    <row r="1">
      <c r="A1" s="1" t="s">
        <v>429</v>
      </c>
      <c r="B1" s="1" t="s">
        <v>386</v>
      </c>
      <c r="C1" s="1" t="s">
        <v>387</v>
      </c>
      <c r="D1" s="1" t="s">
        <v>8</v>
      </c>
      <c r="E1" s="1" t="s">
        <v>430</v>
      </c>
      <c r="F1" s="1" t="s">
        <v>23</v>
      </c>
      <c r="G1" s="1" t="s">
        <v>24</v>
      </c>
      <c r="H1" s="1" t="s">
        <v>388</v>
      </c>
      <c r="I1" s="1" t="s">
        <v>431</v>
      </c>
      <c r="J1" s="1" t="s">
        <v>432</v>
      </c>
      <c r="K1" s="1" t="s">
        <v>433</v>
      </c>
      <c r="L1" s="1" t="s">
        <v>434</v>
      </c>
      <c r="M1" s="1" t="s">
        <v>435</v>
      </c>
      <c r="N1" s="1" t="s">
        <v>436</v>
      </c>
      <c r="O1" s="1" t="s">
        <v>437</v>
      </c>
      <c r="P1" s="1" t="s">
        <v>438</v>
      </c>
      <c r="Q1" s="1" t="s">
        <v>439</v>
      </c>
      <c r="R1" s="1" t="s">
        <v>440</v>
      </c>
      <c r="S1" s="1" t="s">
        <v>441</v>
      </c>
      <c r="T1" s="1" t="s">
        <v>442</v>
      </c>
      <c r="U1" s="1" t="s">
        <v>443</v>
      </c>
      <c r="V1" s="1" t="s">
        <v>444</v>
      </c>
      <c r="W1" s="1" t="s">
        <v>14</v>
      </c>
    </row>
    <row r="2">
      <c r="A2" s="2" t="s">
        <v>445</v>
      </c>
      <c r="B2" s="2" t="s">
        <v>446</v>
      </c>
      <c r="C2" s="2" t="s">
        <v>447</v>
      </c>
      <c r="D2" s="3">
        <v>9.143124328E9</v>
      </c>
      <c r="E2" s="2" t="s">
        <v>237</v>
      </c>
      <c r="F2" s="3">
        <v>5.0</v>
      </c>
      <c r="G2" s="2" t="s">
        <v>58</v>
      </c>
      <c r="H2" s="2" t="s">
        <v>65</v>
      </c>
      <c r="I2" s="2" t="s">
        <v>231</v>
      </c>
      <c r="J2" s="2" t="s">
        <v>446</v>
      </c>
      <c r="K2" s="3">
        <v>32182.0</v>
      </c>
      <c r="L2" s="3">
        <v>40043.0</v>
      </c>
      <c r="M2" s="3">
        <v>60667.0</v>
      </c>
      <c r="N2" s="5">
        <v>46185.89695601852</v>
      </c>
      <c r="O2" s="3">
        <v>60667.0</v>
      </c>
      <c r="P2" s="5">
        <v>46188.56165509259</v>
      </c>
      <c r="Q2" s="3">
        <v>60667.0</v>
      </c>
      <c r="R2" s="5">
        <v>46185.89695601852</v>
      </c>
      <c r="T2" s="2" t="s">
        <v>448</v>
      </c>
      <c r="U2" s="3" t="s">
        <v>83</v>
      </c>
      <c r="V2" s="2" t="s">
        <v>46</v>
      </c>
      <c r="W2" s="2" t="s">
        <v>216</v>
      </c>
    </row>
    <row r="3">
      <c r="A3" s="2" t="s">
        <v>445</v>
      </c>
      <c r="B3" s="2" t="s">
        <v>449</v>
      </c>
      <c r="C3" s="2" t="s">
        <v>450</v>
      </c>
      <c r="D3" s="3">
        <v>7.619366491E9</v>
      </c>
      <c r="E3" s="2" t="s">
        <v>43</v>
      </c>
      <c r="F3" s="3">
        <v>6.0</v>
      </c>
      <c r="G3" s="2" t="s">
        <v>70</v>
      </c>
      <c r="H3" s="2" t="s">
        <v>87</v>
      </c>
      <c r="I3" s="2" t="s">
        <v>89</v>
      </c>
      <c r="J3" s="2" t="s">
        <v>451</v>
      </c>
      <c r="K3" s="3">
        <v>32183.0</v>
      </c>
      <c r="L3" s="3">
        <v>40443.0</v>
      </c>
      <c r="M3" s="3">
        <v>89835.0</v>
      </c>
      <c r="N3" s="5">
        <v>46189.44243055556</v>
      </c>
      <c r="O3" s="3">
        <v>656.0</v>
      </c>
      <c r="P3" s="5">
        <v>46189.626435185186</v>
      </c>
      <c r="Q3" s="3">
        <v>656.0</v>
      </c>
      <c r="R3" s="5">
        <v>46189.44243055556</v>
      </c>
      <c r="T3" s="2" t="s">
        <v>452</v>
      </c>
      <c r="U3" s="3" t="s">
        <v>453</v>
      </c>
      <c r="V3" s="2" t="s">
        <v>46</v>
      </c>
      <c r="W3" s="2" t="s">
        <v>50</v>
      </c>
    </row>
    <row r="4">
      <c r="A4" s="2" t="s">
        <v>445</v>
      </c>
      <c r="B4" s="2" t="s">
        <v>182</v>
      </c>
      <c r="C4" s="2" t="s">
        <v>183</v>
      </c>
      <c r="D4" s="2" t="s">
        <v>454</v>
      </c>
      <c r="E4" s="2" t="s">
        <v>43</v>
      </c>
      <c r="F4" s="3">
        <v>6.0</v>
      </c>
      <c r="G4" s="2" t="s">
        <v>70</v>
      </c>
      <c r="H4" s="2" t="s">
        <v>65</v>
      </c>
      <c r="I4" s="2" t="s">
        <v>185</v>
      </c>
      <c r="J4" s="2" t="s">
        <v>451</v>
      </c>
      <c r="K4" s="3">
        <v>32195.0</v>
      </c>
      <c r="L4" s="3">
        <v>40109.0</v>
      </c>
      <c r="M4" s="3">
        <v>88285.0</v>
      </c>
      <c r="N4" s="5">
        <v>46190.51907407407</v>
      </c>
      <c r="O4" s="3">
        <v>656.0</v>
      </c>
      <c r="P4" s="5">
        <v>46191.54821759259</v>
      </c>
      <c r="Q4" s="3">
        <v>656.0</v>
      </c>
      <c r="R4" s="5">
        <v>46190.51907407407</v>
      </c>
      <c r="T4" s="2" t="s">
        <v>455</v>
      </c>
      <c r="U4" s="3" t="s">
        <v>92</v>
      </c>
      <c r="V4" s="2" t="s">
        <v>46</v>
      </c>
      <c r="W4" s="2" t="s">
        <v>88</v>
      </c>
    </row>
    <row r="5">
      <c r="A5" s="2" t="s">
        <v>445</v>
      </c>
      <c r="B5" s="2" t="s">
        <v>362</v>
      </c>
      <c r="C5" s="2" t="s">
        <v>363</v>
      </c>
      <c r="D5" s="3">
        <v>8.637586651E9</v>
      </c>
      <c r="E5" s="2" t="s">
        <v>43</v>
      </c>
      <c r="F5" s="3">
        <v>6.0</v>
      </c>
      <c r="G5" s="2" t="s">
        <v>98</v>
      </c>
      <c r="H5" s="2" t="s">
        <v>65</v>
      </c>
      <c r="I5" s="2" t="s">
        <v>185</v>
      </c>
      <c r="J5" s="2" t="s">
        <v>451</v>
      </c>
      <c r="K5" s="3">
        <v>32196.0</v>
      </c>
      <c r="L5" s="3">
        <v>40110.0</v>
      </c>
      <c r="M5" s="3">
        <v>89943.0</v>
      </c>
      <c r="N5" s="5">
        <v>46190.52784722222</v>
      </c>
      <c r="O5" s="3">
        <v>656.0</v>
      </c>
      <c r="P5" s="5">
        <v>46190.53228009259</v>
      </c>
      <c r="Q5" s="3">
        <v>656.0</v>
      </c>
      <c r="R5" s="5">
        <v>46190.52784722222</v>
      </c>
      <c r="T5" s="2" t="s">
        <v>455</v>
      </c>
      <c r="U5" s="3" t="s">
        <v>456</v>
      </c>
      <c r="V5" s="2" t="s">
        <v>46</v>
      </c>
      <c r="W5" s="2" t="s">
        <v>77</v>
      </c>
    </row>
    <row r="6">
      <c r="A6" s="2" t="s">
        <v>445</v>
      </c>
      <c r="B6" s="2" t="s">
        <v>457</v>
      </c>
      <c r="C6" s="2" t="s">
        <v>458</v>
      </c>
      <c r="D6" s="3">
        <v>7.980627015E9</v>
      </c>
      <c r="E6" s="2" t="s">
        <v>43</v>
      </c>
      <c r="F6" s="3">
        <v>6.0</v>
      </c>
      <c r="G6" s="2" t="s">
        <v>98</v>
      </c>
      <c r="H6" s="2" t="s">
        <v>65</v>
      </c>
      <c r="I6" s="2" t="s">
        <v>185</v>
      </c>
      <c r="J6" s="2" t="s">
        <v>451</v>
      </c>
      <c r="K6" s="3">
        <v>32198.0</v>
      </c>
      <c r="L6" s="3">
        <v>40110.0</v>
      </c>
      <c r="M6" s="3">
        <v>89207.0</v>
      </c>
      <c r="N6" s="5">
        <v>46190.53859953704</v>
      </c>
      <c r="O6" s="3">
        <v>656.0</v>
      </c>
      <c r="P6" s="5">
        <v>46191.55370370371</v>
      </c>
      <c r="Q6" s="3">
        <v>656.0</v>
      </c>
      <c r="R6" s="5">
        <v>46190.53859953704</v>
      </c>
      <c r="T6" s="2" t="s">
        <v>459</v>
      </c>
      <c r="U6" s="3" t="s">
        <v>92</v>
      </c>
      <c r="V6" s="2" t="s">
        <v>46</v>
      </c>
      <c r="W6" s="2" t="s">
        <v>77</v>
      </c>
    </row>
    <row r="7">
      <c r="A7" s="2" t="s">
        <v>445</v>
      </c>
      <c r="B7" s="2" t="s">
        <v>460</v>
      </c>
      <c r="C7" s="2" t="s">
        <v>461</v>
      </c>
      <c r="D7" s="3">
        <v>8.927809084E9</v>
      </c>
      <c r="E7" s="2" t="s">
        <v>43</v>
      </c>
      <c r="F7" s="3">
        <v>7.0</v>
      </c>
      <c r="G7" s="2" t="s">
        <v>70</v>
      </c>
      <c r="H7" s="2" t="s">
        <v>65</v>
      </c>
      <c r="I7" s="2" t="s">
        <v>185</v>
      </c>
      <c r="J7" s="2" t="s">
        <v>451</v>
      </c>
      <c r="K7" s="3">
        <v>32199.0</v>
      </c>
      <c r="L7" s="3">
        <v>40072.0</v>
      </c>
      <c r="M7" s="3">
        <v>89551.0</v>
      </c>
      <c r="N7" s="5">
        <v>46190.53934027778</v>
      </c>
      <c r="O7" s="3">
        <v>656.0</v>
      </c>
      <c r="P7" s="5">
        <v>46191.54755787037</v>
      </c>
      <c r="Q7" s="3">
        <v>656.0</v>
      </c>
      <c r="R7" s="5">
        <v>46190.53934027778</v>
      </c>
      <c r="T7" s="2" t="s">
        <v>459</v>
      </c>
      <c r="U7" s="3" t="s">
        <v>92</v>
      </c>
      <c r="V7" s="2" t="s">
        <v>46</v>
      </c>
      <c r="W7" s="2" t="s">
        <v>108</v>
      </c>
    </row>
    <row r="8">
      <c r="A8" s="2" t="s">
        <v>445</v>
      </c>
      <c r="B8" s="2" t="s">
        <v>462</v>
      </c>
      <c r="C8" s="2" t="s">
        <v>463</v>
      </c>
      <c r="D8" s="3">
        <v>7.628085807E9</v>
      </c>
      <c r="E8" s="2" t="s">
        <v>43</v>
      </c>
      <c r="F8" s="3">
        <v>7.0</v>
      </c>
      <c r="G8" s="2" t="s">
        <v>70</v>
      </c>
      <c r="H8" s="2" t="s">
        <v>65</v>
      </c>
      <c r="I8" s="2" t="s">
        <v>464</v>
      </c>
      <c r="J8" s="2" t="s">
        <v>451</v>
      </c>
      <c r="K8" s="3">
        <v>32200.0</v>
      </c>
      <c r="L8" s="3">
        <v>40068.0</v>
      </c>
      <c r="M8" s="3">
        <v>90209.0</v>
      </c>
      <c r="N8" s="5">
        <v>46190.60828703704</v>
      </c>
      <c r="O8" s="3">
        <v>656.0</v>
      </c>
      <c r="P8" s="5">
        <v>46191.555555555555</v>
      </c>
      <c r="Q8" s="3">
        <v>656.0</v>
      </c>
      <c r="R8" s="5">
        <v>46190.60828703704</v>
      </c>
      <c r="T8" s="2" t="s">
        <v>459</v>
      </c>
      <c r="U8" s="3" t="s">
        <v>92</v>
      </c>
      <c r="V8" s="2" t="s">
        <v>46</v>
      </c>
      <c r="W8" s="2" t="s">
        <v>108</v>
      </c>
    </row>
    <row r="9">
      <c r="A9" s="2" t="s">
        <v>445</v>
      </c>
      <c r="B9" s="2" t="s">
        <v>465</v>
      </c>
      <c r="C9" s="2" t="s">
        <v>466</v>
      </c>
      <c r="D9" s="3">
        <v>6.297332371E9</v>
      </c>
      <c r="E9" s="2" t="s">
        <v>43</v>
      </c>
      <c r="F9" s="3">
        <v>8.0</v>
      </c>
      <c r="G9" s="2" t="s">
        <v>58</v>
      </c>
      <c r="H9" s="2" t="s">
        <v>65</v>
      </c>
      <c r="I9" s="2" t="s">
        <v>104</v>
      </c>
      <c r="J9" s="2" t="s">
        <v>451</v>
      </c>
      <c r="K9" s="3">
        <v>32201.0</v>
      </c>
      <c r="L9" s="3">
        <v>40065.0</v>
      </c>
      <c r="M9" s="3">
        <v>89973.0</v>
      </c>
      <c r="N9" s="5">
        <v>46190.66630787037</v>
      </c>
      <c r="O9" s="3">
        <v>656.0</v>
      </c>
      <c r="P9" s="5">
        <v>46198.44894675926</v>
      </c>
      <c r="Q9" s="3">
        <v>656.0</v>
      </c>
      <c r="R9" s="5">
        <v>46190.66630787037</v>
      </c>
      <c r="T9" s="2" t="s">
        <v>452</v>
      </c>
      <c r="U9" s="3" t="s">
        <v>93</v>
      </c>
      <c r="V9" s="2" t="s">
        <v>46</v>
      </c>
      <c r="W9" s="2" t="s">
        <v>108</v>
      </c>
    </row>
    <row r="10">
      <c r="A10" s="2" t="s">
        <v>445</v>
      </c>
      <c r="B10" s="2" t="s">
        <v>467</v>
      </c>
      <c r="C10" s="2" t="s">
        <v>468</v>
      </c>
      <c r="D10" s="3">
        <v>9.163063524E9</v>
      </c>
      <c r="E10" s="2" t="s">
        <v>43</v>
      </c>
      <c r="F10" s="3">
        <v>5.0</v>
      </c>
      <c r="G10" s="2" t="s">
        <v>58</v>
      </c>
      <c r="H10" s="2" t="s">
        <v>65</v>
      </c>
      <c r="I10" s="2" t="s">
        <v>104</v>
      </c>
      <c r="J10" s="2" t="s">
        <v>451</v>
      </c>
      <c r="K10" s="3">
        <v>32202.0</v>
      </c>
      <c r="L10" s="3">
        <v>40131.0</v>
      </c>
      <c r="M10" s="3">
        <v>90899.0</v>
      </c>
      <c r="N10" s="5">
        <v>46190.66971064815</v>
      </c>
      <c r="O10" s="3">
        <v>656.0</v>
      </c>
      <c r="P10" s="5">
        <v>46194.84027777778</v>
      </c>
      <c r="Q10" s="3">
        <v>656.0</v>
      </c>
      <c r="R10" s="5">
        <v>46190.66971064815</v>
      </c>
      <c r="T10" s="2" t="s">
        <v>469</v>
      </c>
      <c r="U10" s="3" t="s">
        <v>470</v>
      </c>
      <c r="V10" s="2" t="s">
        <v>46</v>
      </c>
      <c r="W10" s="2" t="s">
        <v>177</v>
      </c>
    </row>
    <row r="11">
      <c r="A11" s="2" t="s">
        <v>445</v>
      </c>
      <c r="B11" s="2" t="s">
        <v>446</v>
      </c>
      <c r="C11" s="2" t="s">
        <v>447</v>
      </c>
      <c r="D11" s="3">
        <v>9.143124328E9</v>
      </c>
      <c r="E11" s="2" t="s">
        <v>43</v>
      </c>
      <c r="F11" s="3">
        <v>8.0</v>
      </c>
      <c r="G11" s="2" t="s">
        <v>98</v>
      </c>
      <c r="H11" s="2" t="s">
        <v>65</v>
      </c>
      <c r="I11" s="2" t="s">
        <v>231</v>
      </c>
      <c r="J11" s="2" t="s">
        <v>446</v>
      </c>
      <c r="K11" s="3">
        <v>32203.0</v>
      </c>
      <c r="L11" s="3">
        <v>40049.0</v>
      </c>
      <c r="M11" s="3">
        <v>60667.0</v>
      </c>
      <c r="N11" s="5">
        <v>46190.697800925926</v>
      </c>
      <c r="O11" s="3">
        <v>60667.0</v>
      </c>
      <c r="P11" s="5">
        <v>46190.71550925926</v>
      </c>
      <c r="Q11" s="3">
        <v>60667.0</v>
      </c>
      <c r="R11" s="5">
        <v>46190.697800925926</v>
      </c>
      <c r="T11" s="2" t="s">
        <v>448</v>
      </c>
      <c r="U11" s="3" t="s">
        <v>456</v>
      </c>
      <c r="V11" s="2" t="s">
        <v>46</v>
      </c>
      <c r="W11" s="2" t="s">
        <v>216</v>
      </c>
    </row>
    <row r="12">
      <c r="A12" s="2" t="s">
        <v>445</v>
      </c>
      <c r="B12" s="2" t="s">
        <v>471</v>
      </c>
      <c r="C12" s="2" t="s">
        <v>472</v>
      </c>
      <c r="D12" s="3">
        <v>9.007468172E9</v>
      </c>
      <c r="E12" s="2" t="s">
        <v>43</v>
      </c>
      <c r="F12" s="3">
        <v>7.0</v>
      </c>
      <c r="G12" s="2" t="s">
        <v>58</v>
      </c>
      <c r="H12" s="2" t="s">
        <v>65</v>
      </c>
      <c r="I12" s="2" t="s">
        <v>104</v>
      </c>
      <c r="J12" s="2" t="s">
        <v>471</v>
      </c>
      <c r="K12" s="3">
        <v>32204.0</v>
      </c>
      <c r="L12" s="3">
        <v>40173.0</v>
      </c>
      <c r="M12" s="3">
        <v>90619.0</v>
      </c>
      <c r="N12" s="5">
        <v>46190.725590277776</v>
      </c>
      <c r="O12" s="3">
        <v>90619.0</v>
      </c>
      <c r="P12" s="5">
        <v>46194.83770833333</v>
      </c>
      <c r="Q12" s="3">
        <v>90619.0</v>
      </c>
      <c r="R12" s="5">
        <v>46190.725590277776</v>
      </c>
      <c r="T12" s="2" t="s">
        <v>452</v>
      </c>
      <c r="U12" s="3" t="s">
        <v>470</v>
      </c>
      <c r="V12" s="2" t="s">
        <v>46</v>
      </c>
      <c r="W12" s="2" t="s">
        <v>128</v>
      </c>
    </row>
    <row r="13">
      <c r="A13" s="2" t="s">
        <v>445</v>
      </c>
      <c r="B13" s="2" t="s">
        <v>473</v>
      </c>
      <c r="C13" s="2" t="s">
        <v>474</v>
      </c>
      <c r="D13" s="3">
        <v>8.073804232E9</v>
      </c>
      <c r="E13" s="2" t="s">
        <v>43</v>
      </c>
      <c r="F13" s="3">
        <v>7.0</v>
      </c>
      <c r="G13" s="2" t="s">
        <v>58</v>
      </c>
      <c r="H13" s="2" t="s">
        <v>87</v>
      </c>
      <c r="I13" s="2" t="s">
        <v>129</v>
      </c>
      <c r="J13" s="2" t="s">
        <v>451</v>
      </c>
      <c r="K13" s="3">
        <v>32206.0</v>
      </c>
      <c r="L13" s="3">
        <v>40460.0</v>
      </c>
      <c r="M13" s="3">
        <v>89804.0</v>
      </c>
      <c r="N13" s="5">
        <v>46192.518159722225</v>
      </c>
      <c r="O13" s="3">
        <v>656.0</v>
      </c>
      <c r="P13" s="5">
        <v>46196.49591435185</v>
      </c>
      <c r="Q13" s="3">
        <v>656.0</v>
      </c>
      <c r="R13" s="5">
        <v>46192.518159722225</v>
      </c>
      <c r="T13" s="2" t="s">
        <v>475</v>
      </c>
      <c r="U13" s="3" t="s">
        <v>186</v>
      </c>
      <c r="V13" s="2" t="s">
        <v>63</v>
      </c>
      <c r="W13" s="2" t="s">
        <v>50</v>
      </c>
    </row>
    <row r="14">
      <c r="A14" s="2" t="s">
        <v>445</v>
      </c>
      <c r="B14" s="2" t="s">
        <v>476</v>
      </c>
      <c r="C14" s="2" t="s">
        <v>477</v>
      </c>
      <c r="D14" s="3">
        <v>8.310745243E9</v>
      </c>
      <c r="E14" s="2" t="s">
        <v>478</v>
      </c>
      <c r="F14" s="3">
        <v>5.0</v>
      </c>
      <c r="G14" s="2" t="s">
        <v>98</v>
      </c>
      <c r="H14" s="2" t="s">
        <v>87</v>
      </c>
      <c r="I14" s="2" t="s">
        <v>234</v>
      </c>
      <c r="J14" s="2" t="s">
        <v>451</v>
      </c>
      <c r="K14" s="3">
        <v>32208.0</v>
      </c>
      <c r="L14" s="3">
        <v>40446.0</v>
      </c>
      <c r="M14" s="3">
        <v>89776.0</v>
      </c>
      <c r="N14" s="5">
        <v>46192.52854166667</v>
      </c>
      <c r="O14" s="3">
        <v>656.0</v>
      </c>
      <c r="P14" s="5">
        <v>46195.44304398148</v>
      </c>
      <c r="Q14" s="3">
        <v>656.0</v>
      </c>
      <c r="R14" s="5">
        <v>46192.52854166667</v>
      </c>
      <c r="T14" s="2" t="s">
        <v>475</v>
      </c>
      <c r="U14" s="3" t="s">
        <v>142</v>
      </c>
      <c r="V14" s="2" t="s">
        <v>63</v>
      </c>
      <c r="W14" s="2" t="s">
        <v>50</v>
      </c>
    </row>
    <row r="15">
      <c r="A15" s="2" t="s">
        <v>445</v>
      </c>
      <c r="B15" s="2" t="s">
        <v>340</v>
      </c>
      <c r="C15" s="2" t="s">
        <v>341</v>
      </c>
      <c r="D15" s="3">
        <v>8.900546143E9</v>
      </c>
      <c r="E15" s="2" t="s">
        <v>237</v>
      </c>
      <c r="F15" s="3">
        <v>5.0</v>
      </c>
      <c r="G15" s="2" t="s">
        <v>58</v>
      </c>
      <c r="H15" s="2" t="s">
        <v>65</v>
      </c>
      <c r="I15" s="2" t="s">
        <v>231</v>
      </c>
      <c r="J15" s="2" t="s">
        <v>451</v>
      </c>
      <c r="K15" s="3">
        <v>32210.0</v>
      </c>
      <c r="L15" s="3">
        <v>40043.0</v>
      </c>
      <c r="M15" s="3">
        <v>88194.0</v>
      </c>
      <c r="N15" s="5">
        <v>46192.550520833334</v>
      </c>
      <c r="O15" s="3">
        <v>656.0</v>
      </c>
      <c r="P15" s="5">
        <v>46194.839166666665</v>
      </c>
      <c r="Q15" s="3">
        <v>656.0</v>
      </c>
      <c r="R15" s="5">
        <v>46192.550520833334</v>
      </c>
      <c r="T15" s="2" t="s">
        <v>459</v>
      </c>
      <c r="U15" s="3" t="s">
        <v>470</v>
      </c>
      <c r="V15" s="2" t="s">
        <v>46</v>
      </c>
      <c r="W15" s="2" t="s">
        <v>177</v>
      </c>
    </row>
    <row r="16">
      <c r="A16" s="2" t="s">
        <v>445</v>
      </c>
      <c r="B16" s="2" t="s">
        <v>479</v>
      </c>
      <c r="C16" s="2" t="s">
        <v>480</v>
      </c>
      <c r="D16" s="3">
        <v>7.044066833E9</v>
      </c>
      <c r="E16" s="2" t="s">
        <v>43</v>
      </c>
      <c r="F16" s="3">
        <v>6.0</v>
      </c>
      <c r="G16" s="2" t="s">
        <v>70</v>
      </c>
      <c r="H16" s="2" t="s">
        <v>65</v>
      </c>
      <c r="I16" s="2" t="s">
        <v>185</v>
      </c>
      <c r="J16" s="2" t="s">
        <v>451</v>
      </c>
      <c r="K16" s="3">
        <v>32212.0</v>
      </c>
      <c r="L16" s="3">
        <v>40109.0</v>
      </c>
      <c r="M16" s="3">
        <v>88661.0</v>
      </c>
      <c r="N16" s="5">
        <v>46192.59050925926</v>
      </c>
      <c r="O16" s="3">
        <v>656.0</v>
      </c>
      <c r="P16" s="5">
        <v>46194.83451388889</v>
      </c>
      <c r="Q16" s="3">
        <v>656.0</v>
      </c>
      <c r="R16" s="5">
        <v>46192.59050925926</v>
      </c>
      <c r="T16" s="2" t="s">
        <v>452</v>
      </c>
      <c r="U16" s="3" t="s">
        <v>470</v>
      </c>
      <c r="V16" s="2" t="s">
        <v>46</v>
      </c>
      <c r="W16" s="2" t="s">
        <v>88</v>
      </c>
    </row>
    <row r="17">
      <c r="A17" s="2" t="s">
        <v>445</v>
      </c>
      <c r="B17" s="2" t="s">
        <v>481</v>
      </c>
      <c r="C17" s="2" t="s">
        <v>482</v>
      </c>
      <c r="D17" s="3">
        <v>9.830196899E9</v>
      </c>
      <c r="E17" s="2" t="s">
        <v>43</v>
      </c>
      <c r="F17" s="3">
        <v>6.0</v>
      </c>
      <c r="G17" s="2" t="s">
        <v>98</v>
      </c>
      <c r="H17" s="2" t="s">
        <v>65</v>
      </c>
      <c r="I17" s="2" t="s">
        <v>185</v>
      </c>
      <c r="J17" s="2" t="s">
        <v>451</v>
      </c>
      <c r="K17" s="3">
        <v>32213.0</v>
      </c>
      <c r="L17" s="3">
        <v>40110.0</v>
      </c>
      <c r="M17" s="3">
        <v>88438.0</v>
      </c>
      <c r="N17" s="5">
        <v>46192.60184027778</v>
      </c>
      <c r="O17" s="3">
        <v>656.0</v>
      </c>
      <c r="P17" s="5">
        <v>46198.44725694445</v>
      </c>
      <c r="Q17" s="3">
        <v>656.0</v>
      </c>
      <c r="R17" s="5">
        <v>46192.60184027778</v>
      </c>
      <c r="T17" s="2" t="s">
        <v>483</v>
      </c>
      <c r="U17" s="3" t="s">
        <v>93</v>
      </c>
      <c r="V17" s="2" t="s">
        <v>46</v>
      </c>
      <c r="W17" s="2" t="s">
        <v>108</v>
      </c>
    </row>
    <row r="18">
      <c r="A18" s="2" t="s">
        <v>445</v>
      </c>
      <c r="B18" s="2" t="s">
        <v>484</v>
      </c>
      <c r="C18" s="2" t="s">
        <v>485</v>
      </c>
      <c r="D18" s="3">
        <v>9.148370813E9</v>
      </c>
      <c r="E18" s="2" t="s">
        <v>237</v>
      </c>
      <c r="F18" s="3">
        <v>5.0</v>
      </c>
      <c r="G18" s="2" t="s">
        <v>58</v>
      </c>
      <c r="H18" s="2" t="s">
        <v>65</v>
      </c>
      <c r="I18" s="2" t="s">
        <v>231</v>
      </c>
      <c r="J18" s="2" t="s">
        <v>451</v>
      </c>
      <c r="K18" s="3">
        <v>32217.0</v>
      </c>
      <c r="L18" s="3">
        <v>40043.0</v>
      </c>
      <c r="M18" s="3">
        <v>82704.0</v>
      </c>
      <c r="N18" s="5">
        <v>46195.51194444444</v>
      </c>
      <c r="O18" s="3">
        <v>656.0</v>
      </c>
      <c r="P18" s="5">
        <v>46202.49119212963</v>
      </c>
      <c r="Q18" s="3">
        <v>656.0</v>
      </c>
      <c r="R18" s="5">
        <v>46195.51194444444</v>
      </c>
      <c r="T18" s="2" t="s">
        <v>486</v>
      </c>
      <c r="U18" s="3" t="s">
        <v>105</v>
      </c>
      <c r="V18" s="6"/>
      <c r="W18" s="2" t="s">
        <v>177</v>
      </c>
    </row>
    <row r="19">
      <c r="A19" s="2" t="s">
        <v>445</v>
      </c>
      <c r="B19" s="2" t="s">
        <v>487</v>
      </c>
      <c r="C19" s="2" t="s">
        <v>488</v>
      </c>
      <c r="D19" s="3">
        <v>9.538066563E9</v>
      </c>
      <c r="E19" s="2" t="s">
        <v>478</v>
      </c>
      <c r="F19" s="3">
        <v>5.0</v>
      </c>
      <c r="G19" s="2" t="s">
        <v>58</v>
      </c>
      <c r="H19" s="2" t="s">
        <v>87</v>
      </c>
      <c r="I19" s="2" t="s">
        <v>113</v>
      </c>
      <c r="J19" s="2" t="s">
        <v>451</v>
      </c>
      <c r="K19" s="3">
        <v>32222.0</v>
      </c>
      <c r="L19" s="3">
        <v>40454.0</v>
      </c>
      <c r="M19" s="3">
        <v>82720.0</v>
      </c>
      <c r="N19" s="5">
        <v>46195.61503472222</v>
      </c>
      <c r="O19" s="3">
        <v>656.0</v>
      </c>
      <c r="P19" s="5">
        <v>46203.81594907407</v>
      </c>
      <c r="Q19" s="3">
        <v>656.0</v>
      </c>
      <c r="R19" s="5">
        <v>46195.61503472222</v>
      </c>
      <c r="T19" s="2" t="s">
        <v>486</v>
      </c>
      <c r="U19" s="3" t="s">
        <v>71</v>
      </c>
      <c r="V19" s="2" t="s">
        <v>489</v>
      </c>
      <c r="W19" s="2" t="s">
        <v>88</v>
      </c>
    </row>
    <row r="20">
      <c r="A20" s="2" t="s">
        <v>445</v>
      </c>
      <c r="B20" s="2" t="s">
        <v>490</v>
      </c>
      <c r="C20" s="2" t="s">
        <v>491</v>
      </c>
      <c r="D20" s="3">
        <v>9.113201877E9</v>
      </c>
      <c r="E20" s="2" t="s">
        <v>478</v>
      </c>
      <c r="F20" s="3">
        <v>5.0</v>
      </c>
      <c r="G20" s="2" t="s">
        <v>98</v>
      </c>
      <c r="H20" s="2" t="s">
        <v>87</v>
      </c>
      <c r="I20" s="2" t="s">
        <v>234</v>
      </c>
      <c r="J20" s="2" t="s">
        <v>451</v>
      </c>
      <c r="K20" s="3">
        <v>32226.0</v>
      </c>
      <c r="L20" s="3">
        <v>40446.0</v>
      </c>
      <c r="M20" s="3">
        <v>83006.0</v>
      </c>
      <c r="N20" s="5">
        <v>46195.64471064815</v>
      </c>
      <c r="O20" s="3">
        <v>656.0</v>
      </c>
      <c r="P20" s="5">
        <v>46202.603796296295</v>
      </c>
      <c r="Q20" s="3">
        <v>656.0</v>
      </c>
      <c r="R20" s="5">
        <v>46195.64471064815</v>
      </c>
      <c r="T20" s="2" t="s">
        <v>475</v>
      </c>
      <c r="U20" s="3" t="s">
        <v>105</v>
      </c>
      <c r="V20" s="2" t="s">
        <v>492</v>
      </c>
      <c r="W20" s="2" t="s">
        <v>108</v>
      </c>
    </row>
    <row r="21">
      <c r="A21" s="2" t="s">
        <v>445</v>
      </c>
      <c r="B21" s="2" t="s">
        <v>493</v>
      </c>
      <c r="C21" s="2" t="s">
        <v>494</v>
      </c>
      <c r="D21" s="3">
        <v>9.392818398E9</v>
      </c>
      <c r="E21" s="2" t="s">
        <v>43</v>
      </c>
      <c r="F21" s="3">
        <v>7.0</v>
      </c>
      <c r="G21" s="2" t="s">
        <v>70</v>
      </c>
      <c r="H21" s="2" t="s">
        <v>287</v>
      </c>
      <c r="I21" s="2" t="s">
        <v>495</v>
      </c>
      <c r="J21" s="2" t="s">
        <v>493</v>
      </c>
      <c r="K21" s="3">
        <v>32237.0</v>
      </c>
      <c r="L21" s="3">
        <v>40464.0</v>
      </c>
      <c r="M21" s="3">
        <v>90388.0</v>
      </c>
      <c r="N21" s="5">
        <v>46198.363333333335</v>
      </c>
      <c r="O21" s="3">
        <v>90388.0</v>
      </c>
      <c r="P21" s="5">
        <v>46198.39366898148</v>
      </c>
      <c r="Q21" s="3">
        <v>90388.0</v>
      </c>
      <c r="R21" s="5">
        <v>46198.363333333335</v>
      </c>
      <c r="T21" s="2" t="s">
        <v>455</v>
      </c>
      <c r="U21" s="3" t="s">
        <v>93</v>
      </c>
      <c r="V21" s="2" t="s">
        <v>46</v>
      </c>
      <c r="W21" s="2" t="s">
        <v>108</v>
      </c>
    </row>
    <row r="22">
      <c r="A22" s="2" t="s">
        <v>445</v>
      </c>
      <c r="B22" s="2" t="s">
        <v>496</v>
      </c>
      <c r="C22" s="2" t="s">
        <v>497</v>
      </c>
      <c r="D22" s="3">
        <v>7.975417656E9</v>
      </c>
      <c r="E22" s="2" t="s">
        <v>478</v>
      </c>
      <c r="F22" s="3">
        <v>7.0</v>
      </c>
      <c r="G22" s="2" t="s">
        <v>70</v>
      </c>
      <c r="H22" s="2" t="s">
        <v>87</v>
      </c>
      <c r="I22" s="2" t="s">
        <v>498</v>
      </c>
      <c r="J22" s="2" t="s">
        <v>451</v>
      </c>
      <c r="K22" s="3">
        <v>32254.0</v>
      </c>
      <c r="L22" s="3">
        <v>40621.0</v>
      </c>
      <c r="M22" s="3">
        <v>78805.0</v>
      </c>
      <c r="N22" s="5">
        <v>46199.745254629626</v>
      </c>
      <c r="O22" s="3">
        <v>656.0</v>
      </c>
      <c r="P22" s="5">
        <v>46199.754699074074</v>
      </c>
      <c r="Q22" s="3">
        <v>656.0</v>
      </c>
      <c r="R22" s="5">
        <v>46199.745254629626</v>
      </c>
      <c r="T22" s="2" t="s">
        <v>448</v>
      </c>
      <c r="U22" s="3" t="s">
        <v>270</v>
      </c>
      <c r="V22" s="2" t="s">
        <v>46</v>
      </c>
      <c r="W22" s="2" t="s">
        <v>88</v>
      </c>
    </row>
    <row r="23">
      <c r="A23" s="2" t="s">
        <v>445</v>
      </c>
      <c r="B23" s="2" t="s">
        <v>499</v>
      </c>
      <c r="C23" s="2" t="s">
        <v>500</v>
      </c>
      <c r="D23" s="2" t="s">
        <v>501</v>
      </c>
      <c r="E23" s="2" t="s">
        <v>43</v>
      </c>
      <c r="F23" s="3">
        <v>5.0</v>
      </c>
      <c r="G23" s="2" t="s">
        <v>70</v>
      </c>
      <c r="H23" s="2" t="s">
        <v>87</v>
      </c>
      <c r="I23" s="2" t="s">
        <v>302</v>
      </c>
      <c r="J23" s="2" t="s">
        <v>499</v>
      </c>
      <c r="K23" s="3">
        <v>32255.0</v>
      </c>
      <c r="L23" s="3">
        <v>40546.0</v>
      </c>
      <c r="M23" s="3">
        <v>85205.0</v>
      </c>
      <c r="N23" s="5">
        <v>46200.5131712963</v>
      </c>
      <c r="O23" s="3">
        <v>85205.0</v>
      </c>
      <c r="P23" s="5">
        <v>46202.54917824074</v>
      </c>
      <c r="Q23" s="3">
        <v>85205.0</v>
      </c>
      <c r="R23" s="5">
        <v>46200.5131712963</v>
      </c>
      <c r="T23" s="2" t="s">
        <v>455</v>
      </c>
      <c r="U23" s="3" t="s">
        <v>105</v>
      </c>
      <c r="V23" s="2" t="s">
        <v>46</v>
      </c>
      <c r="W23" s="2" t="s">
        <v>77</v>
      </c>
    </row>
    <row r="24">
      <c r="A24" s="2" t="s">
        <v>445</v>
      </c>
      <c r="B24" s="2" t="s">
        <v>446</v>
      </c>
      <c r="C24" s="2" t="s">
        <v>447</v>
      </c>
      <c r="D24" s="3">
        <v>9.143124328E9</v>
      </c>
      <c r="E24" s="2" t="s">
        <v>43</v>
      </c>
      <c r="F24" s="3">
        <v>7.0</v>
      </c>
      <c r="G24" s="2" t="s">
        <v>70</v>
      </c>
      <c r="H24" s="2" t="s">
        <v>79</v>
      </c>
      <c r="I24" s="2" t="s">
        <v>78</v>
      </c>
      <c r="J24" s="2" t="s">
        <v>446</v>
      </c>
      <c r="K24" s="3">
        <v>32257.0</v>
      </c>
      <c r="L24" s="3">
        <v>40308.0</v>
      </c>
      <c r="M24" s="3">
        <v>60667.0</v>
      </c>
      <c r="N24" s="5">
        <v>46200.7406712963</v>
      </c>
      <c r="O24" s="3">
        <v>60667.0</v>
      </c>
      <c r="P24" s="5">
        <v>46202.70670138889</v>
      </c>
      <c r="Q24" s="3">
        <v>60667.0</v>
      </c>
      <c r="R24" s="5">
        <v>46200.7406712963</v>
      </c>
      <c r="T24" s="2" t="s">
        <v>448</v>
      </c>
      <c r="U24" s="3" t="s">
        <v>105</v>
      </c>
      <c r="V24" s="2" t="s">
        <v>46</v>
      </c>
      <c r="W24" s="2" t="s">
        <v>88</v>
      </c>
    </row>
    <row r="25">
      <c r="A25" s="2" t="s">
        <v>445</v>
      </c>
      <c r="B25" s="2" t="s">
        <v>502</v>
      </c>
      <c r="C25" s="2" t="s">
        <v>503</v>
      </c>
      <c r="E25" s="2" t="s">
        <v>43</v>
      </c>
      <c r="F25" s="3">
        <v>7.0</v>
      </c>
      <c r="G25" s="2" t="s">
        <v>98</v>
      </c>
      <c r="H25" s="2" t="s">
        <v>87</v>
      </c>
      <c r="I25" s="2" t="s">
        <v>207</v>
      </c>
      <c r="J25" s="2" t="s">
        <v>502</v>
      </c>
      <c r="K25" s="3">
        <v>32258.0</v>
      </c>
      <c r="L25" s="3">
        <v>40572.0</v>
      </c>
      <c r="M25" s="3">
        <v>32557.0</v>
      </c>
      <c r="N25" s="5">
        <v>46200.83076388889</v>
      </c>
      <c r="O25" s="3">
        <v>32557.0</v>
      </c>
      <c r="P25" s="5">
        <v>46202.550729166665</v>
      </c>
      <c r="Q25" s="3">
        <v>32557.0</v>
      </c>
      <c r="R25" s="5">
        <v>46200.83076388889</v>
      </c>
      <c r="T25" s="2" t="s">
        <v>455</v>
      </c>
      <c r="U25" s="3" t="s">
        <v>105</v>
      </c>
      <c r="V25" s="2" t="s">
        <v>46</v>
      </c>
      <c r="W25" s="2" t="s">
        <v>216</v>
      </c>
    </row>
    <row r="26">
      <c r="A26" s="2" t="s">
        <v>445</v>
      </c>
      <c r="B26" s="2" t="s">
        <v>504</v>
      </c>
      <c r="C26" s="2" t="s">
        <v>505</v>
      </c>
      <c r="D26" s="3">
        <v>8.886540184E9</v>
      </c>
      <c r="E26" s="2" t="s">
        <v>43</v>
      </c>
      <c r="F26" s="3">
        <v>8.0</v>
      </c>
      <c r="G26" s="2" t="s">
        <v>70</v>
      </c>
      <c r="H26" s="2" t="s">
        <v>119</v>
      </c>
      <c r="I26" s="2" t="s">
        <v>506</v>
      </c>
      <c r="J26" s="2" t="s">
        <v>504</v>
      </c>
      <c r="K26" s="3">
        <v>32263.0</v>
      </c>
      <c r="L26" s="3">
        <v>40636.0</v>
      </c>
      <c r="M26" s="3">
        <v>88189.0</v>
      </c>
      <c r="N26" s="5">
        <v>46202.4419212963</v>
      </c>
      <c r="O26" s="3">
        <v>88189.0</v>
      </c>
      <c r="P26" s="5">
        <v>46202.49533564815</v>
      </c>
      <c r="Q26" s="3">
        <v>88189.0</v>
      </c>
      <c r="R26" s="5">
        <v>46202.4419212963</v>
      </c>
      <c r="T26" s="2" t="s">
        <v>455</v>
      </c>
      <c r="U26" s="3" t="s">
        <v>105</v>
      </c>
      <c r="V26" s="2" t="s">
        <v>46</v>
      </c>
      <c r="W26" s="2" t="s">
        <v>507</v>
      </c>
    </row>
    <row r="27">
      <c r="A27" s="2" t="s">
        <v>445</v>
      </c>
      <c r="B27" s="2" t="s">
        <v>508</v>
      </c>
      <c r="C27" s="2" t="s">
        <v>509</v>
      </c>
      <c r="D27" s="3">
        <v>8.423015776E9</v>
      </c>
      <c r="E27" s="2" t="s">
        <v>43</v>
      </c>
      <c r="F27" s="3">
        <v>7.0</v>
      </c>
      <c r="G27" s="2" t="s">
        <v>82</v>
      </c>
      <c r="H27" s="2" t="s">
        <v>119</v>
      </c>
      <c r="I27" s="2" t="s">
        <v>510</v>
      </c>
      <c r="J27" s="2" t="s">
        <v>451</v>
      </c>
      <c r="K27" s="3">
        <v>32275.0</v>
      </c>
      <c r="L27" s="3">
        <v>40661.0</v>
      </c>
      <c r="M27" s="3">
        <v>90905.0</v>
      </c>
      <c r="N27" s="5">
        <v>46202.490694444445</v>
      </c>
      <c r="O27" s="3">
        <v>656.0</v>
      </c>
      <c r="P27" s="5">
        <v>46202.53192129629</v>
      </c>
      <c r="Q27" s="3">
        <v>656.0</v>
      </c>
      <c r="R27" s="5">
        <v>46202.490694444445</v>
      </c>
      <c r="T27" s="2" t="s">
        <v>455</v>
      </c>
      <c r="U27" s="3" t="s">
        <v>105</v>
      </c>
      <c r="V27" s="2" t="s">
        <v>46</v>
      </c>
      <c r="W27" s="2" t="s">
        <v>108</v>
      </c>
    </row>
    <row r="28">
      <c r="A28" s="2" t="s">
        <v>445</v>
      </c>
      <c r="B28" s="2" t="s">
        <v>446</v>
      </c>
      <c r="C28" s="2" t="s">
        <v>447</v>
      </c>
      <c r="D28" s="3">
        <v>9.143124328E9</v>
      </c>
      <c r="E28" s="2" t="s">
        <v>478</v>
      </c>
      <c r="F28" s="3">
        <v>6.0</v>
      </c>
      <c r="G28" s="2" t="s">
        <v>109</v>
      </c>
      <c r="H28" s="2" t="s">
        <v>119</v>
      </c>
      <c r="I28" s="2" t="s">
        <v>511</v>
      </c>
      <c r="J28" s="2" t="s">
        <v>446</v>
      </c>
      <c r="K28" s="3">
        <v>32315.0</v>
      </c>
      <c r="L28" s="3">
        <v>40651.0</v>
      </c>
      <c r="M28" s="3">
        <v>60667.0</v>
      </c>
      <c r="N28" s="5">
        <v>46202.76511574074</v>
      </c>
      <c r="O28" s="3">
        <v>60667.0</v>
      </c>
      <c r="P28" s="5">
        <v>46202.91951388889</v>
      </c>
      <c r="Q28" s="3">
        <v>60667.0</v>
      </c>
      <c r="R28" s="5">
        <v>46202.76511574074</v>
      </c>
      <c r="T28" s="2" t="s">
        <v>455</v>
      </c>
      <c r="U28" s="3" t="s">
        <v>105</v>
      </c>
      <c r="V28" s="2" t="s">
        <v>46</v>
      </c>
      <c r="W28" s="2" t="s">
        <v>216</v>
      </c>
    </row>
    <row r="29">
      <c r="W29" s="2"/>
    </row>
    <row r="30">
      <c r="W30" s="2"/>
    </row>
  </sheetData>
  <mergeCells count="28">
    <mergeCell ref="R2:S2"/>
    <mergeCell ref="R3:S3"/>
    <mergeCell ref="R4:S4"/>
    <mergeCell ref="R5:S5"/>
    <mergeCell ref="R6:S6"/>
    <mergeCell ref="R7:S7"/>
    <mergeCell ref="R8:S8"/>
    <mergeCell ref="R9:S9"/>
    <mergeCell ref="R10:S10"/>
    <mergeCell ref="R11:S11"/>
    <mergeCell ref="R12:S12"/>
    <mergeCell ref="R13:S13"/>
    <mergeCell ref="R14:S14"/>
    <mergeCell ref="R15:S15"/>
    <mergeCell ref="R23:S23"/>
    <mergeCell ref="R24:S24"/>
    <mergeCell ref="C25:D25"/>
    <mergeCell ref="R25:S25"/>
    <mergeCell ref="R26:S26"/>
    <mergeCell ref="R27:S27"/>
    <mergeCell ref="R28:S28"/>
    <mergeCell ref="R16:S16"/>
    <mergeCell ref="R17:S17"/>
    <mergeCell ref="R18:S18"/>
    <mergeCell ref="R19:S19"/>
    <mergeCell ref="R20:S20"/>
    <mergeCell ref="R21:S21"/>
    <mergeCell ref="R22:S22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512</v>
      </c>
      <c r="B1" s="1" t="s">
        <v>513</v>
      </c>
      <c r="C1" s="1" t="s">
        <v>514</v>
      </c>
      <c r="D1" s="1" t="s">
        <v>515</v>
      </c>
      <c r="E1" s="1" t="s">
        <v>387</v>
      </c>
      <c r="F1" s="1" t="s">
        <v>8</v>
      </c>
      <c r="G1" s="1" t="s">
        <v>516</v>
      </c>
      <c r="H1" s="1" t="s">
        <v>388</v>
      </c>
      <c r="I1" s="1" t="s">
        <v>517</v>
      </c>
      <c r="J1" s="1" t="s">
        <v>10</v>
      </c>
      <c r="K1" s="1" t="s">
        <v>518</v>
      </c>
    </row>
    <row r="2">
      <c r="A2" s="3">
        <v>90635.0</v>
      </c>
      <c r="B2" s="2" t="s">
        <v>519</v>
      </c>
      <c r="C2" s="5">
        <v>46174.604375</v>
      </c>
      <c r="D2" s="2" t="s">
        <v>520</v>
      </c>
      <c r="E2" s="2" t="s">
        <v>521</v>
      </c>
      <c r="F2" s="3">
        <v>9.83697777E9</v>
      </c>
      <c r="G2" s="2" t="s">
        <v>49</v>
      </c>
      <c r="H2" s="2" t="s">
        <v>65</v>
      </c>
      <c r="I2" s="2" t="s">
        <v>103</v>
      </c>
      <c r="J2" s="2" t="s">
        <v>46</v>
      </c>
    </row>
    <row r="3">
      <c r="A3" s="3">
        <v>90636.0</v>
      </c>
      <c r="B3" s="2" t="s">
        <v>522</v>
      </c>
      <c r="C3" s="5">
        <v>46174.64989583333</v>
      </c>
      <c r="D3" s="2" t="s">
        <v>520</v>
      </c>
      <c r="E3" s="2" t="s">
        <v>523</v>
      </c>
      <c r="F3" s="3">
        <v>9.45553E9</v>
      </c>
      <c r="G3" s="2" t="s">
        <v>49</v>
      </c>
      <c r="H3" s="2" t="s">
        <v>79</v>
      </c>
      <c r="I3" s="2" t="s">
        <v>524</v>
      </c>
      <c r="J3" s="2" t="s">
        <v>46</v>
      </c>
    </row>
    <row r="4">
      <c r="A4" s="3">
        <v>90637.0</v>
      </c>
      <c r="B4" s="2" t="s">
        <v>525</v>
      </c>
      <c r="C4" s="5">
        <v>46174.701469907406</v>
      </c>
      <c r="D4" s="2" t="s">
        <v>520</v>
      </c>
      <c r="E4" s="2" t="s">
        <v>526</v>
      </c>
      <c r="F4" s="3">
        <v>8.123063351E9</v>
      </c>
      <c r="G4" s="2" t="s">
        <v>49</v>
      </c>
      <c r="H4" s="2" t="s">
        <v>87</v>
      </c>
      <c r="I4" s="2" t="s">
        <v>527</v>
      </c>
      <c r="J4" s="2" t="s">
        <v>46</v>
      </c>
    </row>
    <row r="5">
      <c r="A5" s="3">
        <v>90638.0</v>
      </c>
      <c r="B5" s="2" t="s">
        <v>528</v>
      </c>
      <c r="C5" s="5">
        <v>46174.737442129626</v>
      </c>
      <c r="D5" s="2" t="s">
        <v>529</v>
      </c>
      <c r="E5" s="2" t="s">
        <v>530</v>
      </c>
      <c r="F5" s="3">
        <v>9.759354007E9</v>
      </c>
      <c r="G5" s="2" t="s">
        <v>49</v>
      </c>
      <c r="H5" s="2" t="s">
        <v>79</v>
      </c>
      <c r="I5" s="2" t="s">
        <v>531</v>
      </c>
      <c r="J5" s="2" t="s">
        <v>46</v>
      </c>
    </row>
    <row r="6">
      <c r="A6" s="3">
        <v>90639.0</v>
      </c>
      <c r="B6" s="2" t="s">
        <v>532</v>
      </c>
      <c r="C6" s="5">
        <v>46174.75921296296</v>
      </c>
      <c r="D6" s="2" t="s">
        <v>520</v>
      </c>
      <c r="E6" s="2" t="s">
        <v>533</v>
      </c>
      <c r="F6" s="3">
        <v>7.667525391E9</v>
      </c>
      <c r="G6" s="2" t="s">
        <v>49</v>
      </c>
      <c r="H6" s="2" t="s">
        <v>534</v>
      </c>
      <c r="I6" s="2" t="s">
        <v>534</v>
      </c>
      <c r="J6" s="2" t="s">
        <v>46</v>
      </c>
    </row>
    <row r="7">
      <c r="A7" s="3">
        <v>90640.0</v>
      </c>
      <c r="B7" s="2" t="s">
        <v>535</v>
      </c>
      <c r="C7" s="5">
        <v>46174.783159722225</v>
      </c>
      <c r="D7" s="2" t="s">
        <v>529</v>
      </c>
      <c r="E7" s="2" t="s">
        <v>536</v>
      </c>
      <c r="F7" s="6" t="str">
        <f>+91 96869-27109</f>
        <v>#ERROR!</v>
      </c>
      <c r="G7" s="2" t="s">
        <v>49</v>
      </c>
      <c r="H7" s="2" t="s">
        <v>87</v>
      </c>
      <c r="I7" s="2" t="s">
        <v>86</v>
      </c>
      <c r="J7" s="2" t="s">
        <v>46</v>
      </c>
    </row>
    <row r="8">
      <c r="A8" s="3">
        <v>90641.0</v>
      </c>
      <c r="B8" s="2" t="s">
        <v>537</v>
      </c>
      <c r="C8" s="5">
        <v>46174.80028935185</v>
      </c>
      <c r="D8" s="2" t="s">
        <v>520</v>
      </c>
      <c r="E8" s="2" t="s">
        <v>538</v>
      </c>
      <c r="F8" s="3">
        <v>7.735836317E9</v>
      </c>
      <c r="G8" s="2" t="s">
        <v>49</v>
      </c>
      <c r="H8" s="2" t="s">
        <v>87</v>
      </c>
      <c r="I8" s="2" t="s">
        <v>86</v>
      </c>
      <c r="J8" s="6"/>
      <c r="K8" s="6"/>
    </row>
    <row r="9">
      <c r="A9" s="3">
        <v>90642.0</v>
      </c>
      <c r="B9" s="2" t="s">
        <v>539</v>
      </c>
      <c r="C9" s="5">
        <v>46174.81983796296</v>
      </c>
      <c r="D9" s="2" t="s">
        <v>520</v>
      </c>
      <c r="E9" s="2" t="s">
        <v>540</v>
      </c>
      <c r="F9" s="3">
        <v>8.328547747E9</v>
      </c>
      <c r="G9" s="2" t="s">
        <v>49</v>
      </c>
      <c r="H9" s="2" t="s">
        <v>194</v>
      </c>
      <c r="I9" s="2" t="s">
        <v>541</v>
      </c>
      <c r="J9" s="2" t="s">
        <v>46</v>
      </c>
    </row>
    <row r="10">
      <c r="A10" s="3">
        <v>90643.0</v>
      </c>
      <c r="B10" s="2" t="s">
        <v>542</v>
      </c>
      <c r="C10" s="5">
        <v>46174.863171296296</v>
      </c>
      <c r="D10" s="2" t="s">
        <v>520</v>
      </c>
      <c r="E10" s="2" t="s">
        <v>543</v>
      </c>
      <c r="F10" s="3">
        <v>7.01488285E9</v>
      </c>
      <c r="G10" s="2" t="s">
        <v>49</v>
      </c>
      <c r="H10" s="2" t="s">
        <v>173</v>
      </c>
      <c r="I10" s="2" t="s">
        <v>544</v>
      </c>
      <c r="J10" s="2" t="s">
        <v>46</v>
      </c>
    </row>
    <row r="11">
      <c r="A11" s="3">
        <v>90644.0</v>
      </c>
      <c r="B11" s="2" t="s">
        <v>545</v>
      </c>
      <c r="C11" s="5">
        <v>46174.897210648145</v>
      </c>
      <c r="D11" s="2" t="s">
        <v>520</v>
      </c>
      <c r="E11" s="2" t="s">
        <v>546</v>
      </c>
      <c r="F11" s="3">
        <v>8.31030148E9</v>
      </c>
      <c r="G11" s="2" t="s">
        <v>49</v>
      </c>
      <c r="H11" s="2" t="s">
        <v>87</v>
      </c>
      <c r="I11" s="2" t="s">
        <v>86</v>
      </c>
      <c r="J11" s="2" t="s">
        <v>46</v>
      </c>
    </row>
    <row r="12">
      <c r="A12" s="3">
        <v>90645.0</v>
      </c>
      <c r="B12" s="2" t="s">
        <v>547</v>
      </c>
      <c r="C12" s="5">
        <v>46174.92146990741</v>
      </c>
      <c r="D12" s="2" t="s">
        <v>520</v>
      </c>
      <c r="E12" s="2" t="s">
        <v>548</v>
      </c>
      <c r="F12" s="3">
        <v>9.321797573E9</v>
      </c>
      <c r="G12" s="2" t="s">
        <v>49</v>
      </c>
      <c r="H12" s="2" t="s">
        <v>48</v>
      </c>
      <c r="I12" s="2" t="s">
        <v>47</v>
      </c>
      <c r="J12" s="2" t="s">
        <v>46</v>
      </c>
    </row>
    <row r="13">
      <c r="A13" s="3">
        <v>90646.0</v>
      </c>
      <c r="B13" s="2" t="s">
        <v>549</v>
      </c>
      <c r="C13" s="5">
        <v>46174.9996875</v>
      </c>
      <c r="D13" s="2" t="s">
        <v>529</v>
      </c>
      <c r="E13" s="2" t="s">
        <v>550</v>
      </c>
      <c r="F13" s="3">
        <v>9.831506503E9</v>
      </c>
      <c r="G13" s="2" t="s">
        <v>49</v>
      </c>
      <c r="H13" s="2" t="s">
        <v>48</v>
      </c>
      <c r="I13" s="2" t="s">
        <v>551</v>
      </c>
      <c r="J13" s="2" t="s">
        <v>46</v>
      </c>
    </row>
    <row r="14">
      <c r="A14" s="3">
        <v>90647.0</v>
      </c>
      <c r="B14" s="2" t="s">
        <v>552</v>
      </c>
      <c r="C14" s="5">
        <v>46175.07320601852</v>
      </c>
      <c r="D14" s="2" t="s">
        <v>529</v>
      </c>
      <c r="E14" s="2" t="s">
        <v>553</v>
      </c>
      <c r="F14" s="3">
        <v>6.207076004E9</v>
      </c>
      <c r="G14" s="2" t="s">
        <v>49</v>
      </c>
      <c r="H14" s="2" t="s">
        <v>119</v>
      </c>
      <c r="I14" s="2" t="s">
        <v>118</v>
      </c>
      <c r="J14" s="2" t="s">
        <v>46</v>
      </c>
    </row>
    <row r="15">
      <c r="A15" s="3">
        <v>90648.0</v>
      </c>
      <c r="B15" s="2" t="s">
        <v>554</v>
      </c>
      <c r="C15" s="5">
        <v>46175.40078703704</v>
      </c>
      <c r="D15" s="2" t="s">
        <v>529</v>
      </c>
      <c r="E15" s="2" t="s">
        <v>555</v>
      </c>
      <c r="F15" s="3">
        <v>7.981564521E9</v>
      </c>
      <c r="G15" s="2" t="s">
        <v>49</v>
      </c>
      <c r="H15" s="2" t="s">
        <v>87</v>
      </c>
      <c r="I15" s="2" t="s">
        <v>86</v>
      </c>
      <c r="J15" s="2" t="s">
        <v>46</v>
      </c>
    </row>
    <row r="16">
      <c r="A16" s="3">
        <v>90649.0</v>
      </c>
      <c r="B16" s="2" t="s">
        <v>556</v>
      </c>
      <c r="C16" s="5">
        <v>46175.431122685186</v>
      </c>
      <c r="D16" s="2" t="s">
        <v>520</v>
      </c>
      <c r="E16" s="2" t="s">
        <v>557</v>
      </c>
      <c r="F16" s="3">
        <v>8.1149571E9</v>
      </c>
      <c r="G16" s="2" t="s">
        <v>49</v>
      </c>
      <c r="H16" s="2" t="s">
        <v>307</v>
      </c>
      <c r="I16" s="2" t="s">
        <v>306</v>
      </c>
      <c r="J16" s="2" t="s">
        <v>46</v>
      </c>
    </row>
    <row r="17">
      <c r="A17" s="3">
        <v>90650.0</v>
      </c>
      <c r="B17" s="2" t="s">
        <v>558</v>
      </c>
      <c r="C17" s="5">
        <v>46175.48949074074</v>
      </c>
      <c r="D17" s="2" t="s">
        <v>520</v>
      </c>
      <c r="E17" s="2" t="s">
        <v>559</v>
      </c>
      <c r="F17" s="3">
        <v>8.148630957E9</v>
      </c>
      <c r="G17" s="2" t="s">
        <v>49</v>
      </c>
      <c r="H17" s="2" t="s">
        <v>169</v>
      </c>
      <c r="I17" s="2" t="s">
        <v>299</v>
      </c>
      <c r="J17" s="2" t="s">
        <v>46</v>
      </c>
    </row>
    <row r="18">
      <c r="A18" s="3">
        <v>90651.0</v>
      </c>
      <c r="B18" s="2" t="s">
        <v>560</v>
      </c>
      <c r="C18" s="5">
        <v>46175.49344907407</v>
      </c>
      <c r="D18" s="2" t="s">
        <v>520</v>
      </c>
      <c r="E18" s="2" t="s">
        <v>561</v>
      </c>
      <c r="F18" s="3">
        <v>8.696622106E9</v>
      </c>
      <c r="G18" s="2" t="s">
        <v>49</v>
      </c>
      <c r="H18" s="2" t="s">
        <v>173</v>
      </c>
      <c r="I18" s="2" t="s">
        <v>562</v>
      </c>
      <c r="J18" s="2" t="s">
        <v>46</v>
      </c>
    </row>
    <row r="19">
      <c r="A19" s="3">
        <v>90652.0</v>
      </c>
      <c r="B19" s="2" t="s">
        <v>563</v>
      </c>
      <c r="C19" s="5">
        <v>46175.509108796294</v>
      </c>
      <c r="D19" s="2" t="s">
        <v>520</v>
      </c>
      <c r="E19" s="2" t="s">
        <v>564</v>
      </c>
      <c r="F19" s="3">
        <v>9.830445518E9</v>
      </c>
      <c r="G19" s="2" t="s">
        <v>49</v>
      </c>
      <c r="H19" s="2" t="s">
        <v>65</v>
      </c>
      <c r="I19" s="2" t="s">
        <v>103</v>
      </c>
      <c r="J19" s="2" t="s">
        <v>46</v>
      </c>
    </row>
    <row r="20">
      <c r="A20" s="3">
        <v>90653.0</v>
      </c>
      <c r="B20" s="2" t="s">
        <v>565</v>
      </c>
      <c r="C20" s="5">
        <v>46175.56886574074</v>
      </c>
      <c r="D20" s="2" t="s">
        <v>520</v>
      </c>
      <c r="E20" s="2" t="s">
        <v>566</v>
      </c>
      <c r="F20" s="3">
        <v>8.46887243E9</v>
      </c>
      <c r="G20" s="2" t="s">
        <v>49</v>
      </c>
      <c r="H20" s="2" t="s">
        <v>79</v>
      </c>
      <c r="I20" s="2" t="s">
        <v>567</v>
      </c>
      <c r="J20" s="2" t="s">
        <v>46</v>
      </c>
    </row>
    <row r="21">
      <c r="A21" s="3">
        <v>90654.0</v>
      </c>
      <c r="B21" s="2" t="s">
        <v>568</v>
      </c>
      <c r="C21" s="5">
        <v>46175.604050925926</v>
      </c>
      <c r="D21" s="2" t="s">
        <v>520</v>
      </c>
      <c r="E21" s="2" t="s">
        <v>569</v>
      </c>
      <c r="F21" s="3">
        <v>8.700904916E9</v>
      </c>
      <c r="G21" s="2" t="s">
        <v>49</v>
      </c>
      <c r="H21" s="2" t="s">
        <v>570</v>
      </c>
      <c r="I21" s="2" t="s">
        <v>570</v>
      </c>
      <c r="J21" s="2" t="s">
        <v>46</v>
      </c>
    </row>
    <row r="22">
      <c r="A22" s="3">
        <v>90655.0</v>
      </c>
      <c r="B22" s="2" t="s">
        <v>571</v>
      </c>
      <c r="C22" s="5">
        <v>46175.62079861111</v>
      </c>
      <c r="D22" s="2" t="s">
        <v>520</v>
      </c>
      <c r="E22" s="2" t="s">
        <v>572</v>
      </c>
      <c r="F22" s="3">
        <v>9.136729678E9</v>
      </c>
      <c r="G22" s="2" t="s">
        <v>49</v>
      </c>
      <c r="H22" s="2" t="s">
        <v>48</v>
      </c>
      <c r="I22" s="2" t="s">
        <v>573</v>
      </c>
      <c r="J22" s="2" t="s">
        <v>46</v>
      </c>
    </row>
    <row r="23">
      <c r="A23" s="3">
        <v>90656.0</v>
      </c>
      <c r="B23" s="2" t="s">
        <v>574</v>
      </c>
      <c r="C23" s="5">
        <v>46175.65295138889</v>
      </c>
      <c r="D23" s="2" t="s">
        <v>529</v>
      </c>
      <c r="E23" s="2" t="s">
        <v>575</v>
      </c>
      <c r="F23" s="3">
        <v>7.877859358E9</v>
      </c>
      <c r="G23" s="2" t="s">
        <v>49</v>
      </c>
      <c r="H23" s="2" t="s">
        <v>287</v>
      </c>
      <c r="I23" s="2" t="s">
        <v>576</v>
      </c>
      <c r="J23" s="2" t="s">
        <v>46</v>
      </c>
    </row>
    <row r="24">
      <c r="A24" s="3">
        <v>90657.0</v>
      </c>
      <c r="B24" s="2" t="s">
        <v>577</v>
      </c>
      <c r="C24" s="5">
        <v>46175.65826388889</v>
      </c>
      <c r="D24" s="2" t="s">
        <v>520</v>
      </c>
      <c r="E24" s="2" t="s">
        <v>578</v>
      </c>
      <c r="F24" s="3">
        <v>8.309165695E9</v>
      </c>
      <c r="G24" s="2" t="s">
        <v>49</v>
      </c>
      <c r="H24" s="2" t="s">
        <v>48</v>
      </c>
      <c r="I24" s="2" t="s">
        <v>551</v>
      </c>
      <c r="J24" s="2" t="s">
        <v>46</v>
      </c>
    </row>
    <row r="25">
      <c r="A25" s="3">
        <v>90658.0</v>
      </c>
      <c r="B25" s="2" t="s">
        <v>579</v>
      </c>
      <c r="C25" s="5">
        <v>46175.66311342592</v>
      </c>
      <c r="D25" s="2" t="s">
        <v>520</v>
      </c>
      <c r="E25" s="2" t="s">
        <v>580</v>
      </c>
      <c r="F25" s="3">
        <v>7.011796627E9</v>
      </c>
      <c r="G25" s="2" t="s">
        <v>49</v>
      </c>
      <c r="H25" s="2" t="s">
        <v>570</v>
      </c>
      <c r="I25" s="2" t="s">
        <v>570</v>
      </c>
      <c r="J25" s="2" t="s">
        <v>46</v>
      </c>
    </row>
    <row r="26">
      <c r="A26" s="3">
        <v>90659.0</v>
      </c>
      <c r="B26" s="2" t="s">
        <v>581</v>
      </c>
      <c r="C26" s="5">
        <v>46175.69693287037</v>
      </c>
      <c r="D26" s="2" t="s">
        <v>520</v>
      </c>
      <c r="E26" s="2" t="s">
        <v>582</v>
      </c>
      <c r="F26" s="3">
        <v>8.700197732E9</v>
      </c>
      <c r="G26" s="2" t="s">
        <v>49</v>
      </c>
      <c r="H26" s="2" t="s">
        <v>79</v>
      </c>
      <c r="I26" s="2" t="s">
        <v>583</v>
      </c>
      <c r="J26" s="2" t="s">
        <v>46</v>
      </c>
    </row>
    <row r="27">
      <c r="A27" s="3">
        <v>90660.0</v>
      </c>
      <c r="B27" s="2" t="s">
        <v>584</v>
      </c>
      <c r="C27" s="5">
        <v>46175.70081018518</v>
      </c>
      <c r="D27" s="2" t="s">
        <v>520</v>
      </c>
      <c r="E27" s="2" t="s">
        <v>585</v>
      </c>
      <c r="F27" s="3">
        <v>9.356771593E9</v>
      </c>
      <c r="G27" s="2" t="s">
        <v>49</v>
      </c>
      <c r="H27" s="2" t="s">
        <v>48</v>
      </c>
      <c r="I27" s="2" t="s">
        <v>586</v>
      </c>
      <c r="J27" s="6"/>
      <c r="K27" s="6"/>
    </row>
    <row r="28">
      <c r="A28" s="3">
        <v>90661.0</v>
      </c>
      <c r="B28" s="2" t="s">
        <v>587</v>
      </c>
      <c r="C28" s="5">
        <v>46175.72321759259</v>
      </c>
      <c r="D28" s="2" t="s">
        <v>520</v>
      </c>
      <c r="E28" s="2" t="s">
        <v>588</v>
      </c>
      <c r="F28" s="3">
        <v>9.954754854E9</v>
      </c>
      <c r="G28" s="2" t="s">
        <v>49</v>
      </c>
      <c r="H28" s="2" t="s">
        <v>589</v>
      </c>
      <c r="I28" s="2" t="s">
        <v>590</v>
      </c>
      <c r="J28" s="2" t="s">
        <v>46</v>
      </c>
    </row>
    <row r="29">
      <c r="A29" s="3">
        <v>90662.0</v>
      </c>
      <c r="B29" s="2" t="s">
        <v>591</v>
      </c>
      <c r="C29" s="5">
        <v>46175.73599537037</v>
      </c>
      <c r="D29" s="2" t="s">
        <v>520</v>
      </c>
      <c r="E29" s="2" t="s">
        <v>592</v>
      </c>
      <c r="F29" s="3">
        <v>7.305967058E9</v>
      </c>
      <c r="G29" s="2" t="s">
        <v>49</v>
      </c>
      <c r="H29" s="2" t="s">
        <v>169</v>
      </c>
      <c r="I29" s="2" t="s">
        <v>299</v>
      </c>
      <c r="J29" s="2" t="s">
        <v>46</v>
      </c>
    </row>
    <row r="30">
      <c r="A30" s="3">
        <v>90663.0</v>
      </c>
      <c r="B30" s="2" t="s">
        <v>593</v>
      </c>
      <c r="C30" s="5">
        <v>46175.785150462965</v>
      </c>
      <c r="D30" s="2" t="s">
        <v>520</v>
      </c>
      <c r="E30" s="2" t="s">
        <v>594</v>
      </c>
      <c r="F30" s="3">
        <v>9.821009108E9</v>
      </c>
      <c r="G30" s="2" t="s">
        <v>49</v>
      </c>
      <c r="H30" s="2" t="s">
        <v>76</v>
      </c>
      <c r="I30" s="2" t="s">
        <v>376</v>
      </c>
      <c r="J30" s="2" t="s">
        <v>46</v>
      </c>
    </row>
    <row r="31">
      <c r="A31" s="3">
        <v>90664.0</v>
      </c>
      <c r="B31" s="2" t="s">
        <v>595</v>
      </c>
      <c r="C31" s="5">
        <v>46175.81037037037</v>
      </c>
      <c r="D31" s="2" t="s">
        <v>520</v>
      </c>
      <c r="E31" s="2" t="s">
        <v>596</v>
      </c>
      <c r="F31" s="2" t="s">
        <v>597</v>
      </c>
      <c r="G31" s="2" t="s">
        <v>49</v>
      </c>
      <c r="H31" s="2" t="s">
        <v>76</v>
      </c>
      <c r="I31" s="2" t="s">
        <v>376</v>
      </c>
      <c r="J31" s="2" t="s">
        <v>46</v>
      </c>
    </row>
    <row r="32">
      <c r="A32" s="3">
        <v>90665.0</v>
      </c>
      <c r="B32" s="2" t="s">
        <v>598</v>
      </c>
      <c r="C32" s="5">
        <v>46175.81076388889</v>
      </c>
      <c r="D32" s="2" t="s">
        <v>520</v>
      </c>
      <c r="E32" s="2" t="s">
        <v>599</v>
      </c>
      <c r="F32" s="6" t="str">
        <f>+91 90107 35171</f>
        <v>#ERROR!</v>
      </c>
      <c r="G32" s="2" t="s">
        <v>49</v>
      </c>
      <c r="H32" s="2" t="s">
        <v>194</v>
      </c>
      <c r="I32" s="2" t="s">
        <v>193</v>
      </c>
      <c r="J32" s="2" t="s">
        <v>46</v>
      </c>
    </row>
    <row r="33">
      <c r="A33" s="3">
        <v>90666.0</v>
      </c>
      <c r="B33" s="2" t="s">
        <v>600</v>
      </c>
      <c r="C33" s="5">
        <v>46175.82418981481</v>
      </c>
      <c r="D33" s="2" t="s">
        <v>520</v>
      </c>
      <c r="E33" s="2" t="s">
        <v>601</v>
      </c>
      <c r="F33" s="2" t="s">
        <v>602</v>
      </c>
      <c r="G33" s="2" t="s">
        <v>49</v>
      </c>
      <c r="H33" s="2" t="s">
        <v>603</v>
      </c>
      <c r="I33" s="2" t="s">
        <v>604</v>
      </c>
      <c r="J33" s="2" t="s">
        <v>46</v>
      </c>
    </row>
    <row r="34">
      <c r="A34" s="3">
        <v>90667.0</v>
      </c>
      <c r="B34" s="2" t="s">
        <v>605</v>
      </c>
      <c r="C34" s="5">
        <v>46175.85965277778</v>
      </c>
      <c r="D34" s="2" t="s">
        <v>520</v>
      </c>
      <c r="E34" s="2" t="s">
        <v>606</v>
      </c>
      <c r="F34" s="8">
        <v>9.1933E11</v>
      </c>
      <c r="G34" s="2" t="s">
        <v>49</v>
      </c>
      <c r="H34" s="2" t="s">
        <v>607</v>
      </c>
      <c r="I34" s="2" t="s">
        <v>608</v>
      </c>
      <c r="J34" s="2" t="s">
        <v>46</v>
      </c>
    </row>
    <row r="35">
      <c r="A35" s="3">
        <v>90668.0</v>
      </c>
      <c r="B35" s="2" t="s">
        <v>609</v>
      </c>
      <c r="C35" s="5">
        <v>46175.88303240741</v>
      </c>
      <c r="D35" s="2" t="s">
        <v>529</v>
      </c>
      <c r="E35" s="2" t="s">
        <v>610</v>
      </c>
      <c r="F35" s="3">
        <v>8.319213335E9</v>
      </c>
      <c r="G35" s="2" t="s">
        <v>49</v>
      </c>
      <c r="H35" s="2" t="s">
        <v>79</v>
      </c>
      <c r="I35" s="2" t="s">
        <v>611</v>
      </c>
      <c r="J35" s="2" t="s">
        <v>46</v>
      </c>
    </row>
    <row r="36">
      <c r="A36" s="3">
        <v>90669.0</v>
      </c>
      <c r="B36" s="2" t="s">
        <v>612</v>
      </c>
      <c r="C36" s="5">
        <v>46175.92724537037</v>
      </c>
      <c r="D36" s="2" t="s">
        <v>529</v>
      </c>
      <c r="E36" s="2" t="s">
        <v>613</v>
      </c>
      <c r="F36" s="3">
        <v>7.74152822E9</v>
      </c>
      <c r="G36" s="2" t="s">
        <v>614</v>
      </c>
      <c r="H36" s="2" t="s">
        <v>615</v>
      </c>
      <c r="I36" s="2" t="s">
        <v>616</v>
      </c>
      <c r="J36" s="6"/>
      <c r="K36" s="6"/>
    </row>
    <row r="37">
      <c r="A37" s="3">
        <v>90670.0</v>
      </c>
      <c r="B37" s="2" t="s">
        <v>617</v>
      </c>
      <c r="C37" s="5">
        <v>46175.927881944444</v>
      </c>
      <c r="D37" s="2" t="s">
        <v>529</v>
      </c>
      <c r="E37" s="2" t="s">
        <v>618</v>
      </c>
      <c r="F37" s="3">
        <v>8.004373027E9</v>
      </c>
      <c r="G37" s="2" t="s">
        <v>49</v>
      </c>
      <c r="H37" s="2" t="s">
        <v>79</v>
      </c>
      <c r="I37" s="2" t="s">
        <v>619</v>
      </c>
      <c r="J37" s="2" t="s">
        <v>46</v>
      </c>
    </row>
    <row r="38">
      <c r="A38" s="3">
        <v>90671.0</v>
      </c>
      <c r="B38" s="2" t="s">
        <v>620</v>
      </c>
      <c r="C38" s="5">
        <v>46175.94954861111</v>
      </c>
      <c r="D38" s="2" t="s">
        <v>520</v>
      </c>
      <c r="E38" s="2" t="s">
        <v>621</v>
      </c>
      <c r="F38" s="3">
        <v>9.84048984E9</v>
      </c>
      <c r="G38" s="2" t="s">
        <v>49</v>
      </c>
      <c r="H38" s="2" t="s">
        <v>169</v>
      </c>
      <c r="I38" s="2" t="s">
        <v>299</v>
      </c>
      <c r="J38" s="2" t="s">
        <v>46</v>
      </c>
    </row>
    <row r="39">
      <c r="A39" s="3">
        <v>90672.0</v>
      </c>
      <c r="B39" s="2" t="s">
        <v>622</v>
      </c>
      <c r="C39" s="5">
        <v>46175.95878472222</v>
      </c>
      <c r="D39" s="2" t="s">
        <v>529</v>
      </c>
      <c r="E39" s="2" t="s">
        <v>623</v>
      </c>
      <c r="F39" s="3">
        <v>8.983153694E9</v>
      </c>
      <c r="G39" s="2" t="s">
        <v>49</v>
      </c>
      <c r="H39" s="2" t="s">
        <v>48</v>
      </c>
      <c r="I39" s="2" t="s">
        <v>551</v>
      </c>
      <c r="J39" s="2" t="s">
        <v>46</v>
      </c>
    </row>
    <row r="40">
      <c r="A40" s="3">
        <v>90673.0</v>
      </c>
      <c r="B40" s="2" t="s">
        <v>624</v>
      </c>
      <c r="C40" s="5">
        <v>46176.23947916667</v>
      </c>
      <c r="D40" s="2" t="s">
        <v>520</v>
      </c>
      <c r="E40" s="2" t="s">
        <v>625</v>
      </c>
      <c r="F40" s="8">
        <v>1.648E10</v>
      </c>
      <c r="G40" s="2" t="s">
        <v>626</v>
      </c>
      <c r="H40" s="2" t="s">
        <v>627</v>
      </c>
      <c r="I40" s="2" t="s">
        <v>628</v>
      </c>
      <c r="J40" s="2" t="s">
        <v>46</v>
      </c>
    </row>
    <row r="41">
      <c r="A41" s="3">
        <v>90674.0</v>
      </c>
      <c r="B41" s="2" t="s">
        <v>629</v>
      </c>
      <c r="C41" s="5">
        <v>46176.37005787037</v>
      </c>
      <c r="D41" s="2" t="s">
        <v>520</v>
      </c>
      <c r="E41" s="2" t="s">
        <v>630</v>
      </c>
      <c r="F41" s="3">
        <v>8.888156186E9</v>
      </c>
      <c r="G41" s="2" t="s">
        <v>49</v>
      </c>
      <c r="H41" s="2" t="s">
        <v>48</v>
      </c>
      <c r="I41" s="2" t="s">
        <v>631</v>
      </c>
      <c r="J41" s="2" t="s">
        <v>46</v>
      </c>
    </row>
    <row r="42">
      <c r="A42" s="3">
        <v>90675.0</v>
      </c>
      <c r="B42" s="2" t="s">
        <v>632</v>
      </c>
      <c r="C42" s="5">
        <v>46176.46456018519</v>
      </c>
      <c r="D42" s="2" t="s">
        <v>520</v>
      </c>
      <c r="E42" s="2" t="s">
        <v>633</v>
      </c>
      <c r="F42" s="3">
        <v>9.982371961E9</v>
      </c>
      <c r="G42" s="2" t="s">
        <v>49</v>
      </c>
      <c r="H42" s="2" t="s">
        <v>173</v>
      </c>
      <c r="I42" s="2" t="s">
        <v>172</v>
      </c>
      <c r="J42" s="2" t="s">
        <v>46</v>
      </c>
    </row>
    <row r="43">
      <c r="A43" s="3">
        <v>90676.0</v>
      </c>
      <c r="B43" s="2" t="s">
        <v>634</v>
      </c>
      <c r="C43" s="5">
        <v>46176.51856481482</v>
      </c>
      <c r="D43" s="2" t="s">
        <v>520</v>
      </c>
      <c r="E43" s="2" t="s">
        <v>635</v>
      </c>
      <c r="F43" s="3">
        <v>9.027988987E9</v>
      </c>
      <c r="G43" s="2" t="s">
        <v>49</v>
      </c>
      <c r="H43" s="2" t="s">
        <v>79</v>
      </c>
      <c r="I43" s="2" t="s">
        <v>636</v>
      </c>
      <c r="J43" s="2" t="s">
        <v>46</v>
      </c>
    </row>
    <row r="44">
      <c r="A44" s="3">
        <v>90677.0</v>
      </c>
      <c r="B44" s="2" t="s">
        <v>637</v>
      </c>
      <c r="C44" s="5">
        <v>46176.66207175926</v>
      </c>
      <c r="D44" s="2" t="s">
        <v>529</v>
      </c>
      <c r="E44" s="2" t="s">
        <v>638</v>
      </c>
      <c r="F44" s="3">
        <v>8.508661112E9</v>
      </c>
      <c r="G44" s="2" t="s">
        <v>49</v>
      </c>
      <c r="H44" s="2" t="s">
        <v>169</v>
      </c>
      <c r="I44" s="2" t="s">
        <v>639</v>
      </c>
      <c r="J44" s="2" t="s">
        <v>46</v>
      </c>
    </row>
    <row r="45">
      <c r="A45" s="3">
        <v>90678.0</v>
      </c>
      <c r="B45" s="2" t="s">
        <v>640</v>
      </c>
      <c r="C45" s="5">
        <v>46176.735763888886</v>
      </c>
      <c r="D45" s="2" t="s">
        <v>520</v>
      </c>
      <c r="E45" s="2" t="s">
        <v>641</v>
      </c>
      <c r="F45" s="6" t="str">
        <f>+91 81231 00602</f>
        <v>#ERROR!</v>
      </c>
      <c r="G45" s="2" t="s">
        <v>49</v>
      </c>
      <c r="H45" s="2" t="s">
        <v>87</v>
      </c>
      <c r="I45" s="2" t="s">
        <v>86</v>
      </c>
      <c r="J45" s="2" t="s">
        <v>46</v>
      </c>
    </row>
    <row r="46">
      <c r="A46" s="3">
        <v>90679.0</v>
      </c>
      <c r="B46" s="2" t="s">
        <v>642</v>
      </c>
      <c r="C46" s="5">
        <v>46176.784780092596</v>
      </c>
      <c r="D46" s="2" t="s">
        <v>520</v>
      </c>
      <c r="E46" s="2" t="s">
        <v>643</v>
      </c>
      <c r="F46" s="3">
        <v>9.75584987E9</v>
      </c>
      <c r="G46" s="2" t="s">
        <v>49</v>
      </c>
      <c r="H46" s="2" t="s">
        <v>644</v>
      </c>
      <c r="I46" s="2" t="s">
        <v>645</v>
      </c>
      <c r="J46" s="2" t="s">
        <v>46</v>
      </c>
    </row>
    <row r="47">
      <c r="A47" s="3">
        <v>90680.0</v>
      </c>
      <c r="B47" s="2" t="s">
        <v>646</v>
      </c>
      <c r="C47" s="5">
        <v>46176.959861111114</v>
      </c>
      <c r="D47" s="2" t="s">
        <v>529</v>
      </c>
      <c r="E47" s="2" t="s">
        <v>647</v>
      </c>
      <c r="F47" s="3">
        <v>9.541983443E9</v>
      </c>
      <c r="G47" s="2" t="s">
        <v>49</v>
      </c>
      <c r="H47" s="2" t="s">
        <v>648</v>
      </c>
      <c r="I47" s="2" t="s">
        <v>649</v>
      </c>
      <c r="J47" s="2" t="s">
        <v>46</v>
      </c>
    </row>
    <row r="48">
      <c r="A48" s="3">
        <v>90681.0</v>
      </c>
      <c r="B48" s="2" t="s">
        <v>650</v>
      </c>
      <c r="C48" s="5">
        <v>46177.01619212963</v>
      </c>
      <c r="D48" s="2" t="s">
        <v>529</v>
      </c>
      <c r="E48" s="2" t="s">
        <v>651</v>
      </c>
      <c r="F48" s="3">
        <v>6.204671987E9</v>
      </c>
      <c r="G48" s="2" t="s">
        <v>49</v>
      </c>
      <c r="H48" s="2" t="s">
        <v>119</v>
      </c>
      <c r="I48" s="2" t="s">
        <v>118</v>
      </c>
      <c r="J48" s="2" t="s">
        <v>46</v>
      </c>
    </row>
    <row r="49">
      <c r="A49" s="3">
        <v>90682.0</v>
      </c>
      <c r="B49" s="2" t="s">
        <v>652</v>
      </c>
      <c r="C49" s="5">
        <v>46177.130520833336</v>
      </c>
      <c r="D49" s="2" t="s">
        <v>529</v>
      </c>
      <c r="E49" s="2" t="s">
        <v>653</v>
      </c>
      <c r="F49" s="3">
        <v>8.770124494E9</v>
      </c>
      <c r="G49" s="2" t="s">
        <v>49</v>
      </c>
      <c r="H49" s="2" t="s">
        <v>212</v>
      </c>
      <c r="I49" s="2" t="s">
        <v>350</v>
      </c>
      <c r="J49" s="2" t="s">
        <v>46</v>
      </c>
    </row>
    <row r="50">
      <c r="A50" s="3">
        <v>90683.0</v>
      </c>
      <c r="B50" s="2" t="s">
        <v>654</v>
      </c>
      <c r="C50" s="5">
        <v>46177.35653935185</v>
      </c>
      <c r="D50" s="2" t="s">
        <v>520</v>
      </c>
      <c r="E50" s="2" t="s">
        <v>655</v>
      </c>
      <c r="F50" s="3">
        <v>9.756320887E9</v>
      </c>
      <c r="G50" s="2" t="s">
        <v>49</v>
      </c>
      <c r="H50" s="2" t="s">
        <v>79</v>
      </c>
      <c r="I50" s="2" t="s">
        <v>656</v>
      </c>
      <c r="J50" s="2" t="s">
        <v>46</v>
      </c>
    </row>
    <row r="51">
      <c r="A51" s="3">
        <v>90684.0</v>
      </c>
      <c r="B51" s="2" t="s">
        <v>657</v>
      </c>
      <c r="C51" s="5">
        <v>46177.4540162037</v>
      </c>
      <c r="D51" s="2" t="s">
        <v>529</v>
      </c>
      <c r="E51" s="2" t="s">
        <v>658</v>
      </c>
      <c r="F51" s="3">
        <v>7.992333508E9</v>
      </c>
      <c r="G51" s="2" t="s">
        <v>49</v>
      </c>
      <c r="H51" s="2" t="s">
        <v>87</v>
      </c>
      <c r="I51" s="2" t="s">
        <v>86</v>
      </c>
      <c r="J51" s="2" t="s">
        <v>46</v>
      </c>
    </row>
    <row r="52">
      <c r="A52" s="3">
        <v>90685.0</v>
      </c>
      <c r="B52" s="2" t="s">
        <v>659</v>
      </c>
      <c r="C52" s="5">
        <v>46177.49521990741</v>
      </c>
      <c r="D52" s="2" t="s">
        <v>520</v>
      </c>
      <c r="E52" s="2" t="s">
        <v>660</v>
      </c>
      <c r="F52" s="3">
        <v>8.459701979E9</v>
      </c>
      <c r="G52" s="2" t="s">
        <v>49</v>
      </c>
      <c r="H52" s="2" t="s">
        <v>48</v>
      </c>
      <c r="I52" s="2" t="s">
        <v>661</v>
      </c>
      <c r="J52" s="2" t="s">
        <v>46</v>
      </c>
    </row>
    <row r="53">
      <c r="A53" s="3">
        <v>90686.0</v>
      </c>
      <c r="B53" s="2" t="s">
        <v>662</v>
      </c>
      <c r="C53" s="5">
        <v>46177.547418981485</v>
      </c>
      <c r="D53" s="2" t="s">
        <v>529</v>
      </c>
      <c r="E53" s="2" t="s">
        <v>663</v>
      </c>
      <c r="F53" s="3">
        <v>9.779996019E9</v>
      </c>
      <c r="G53" s="2" t="s">
        <v>49</v>
      </c>
      <c r="H53" s="2" t="s">
        <v>48</v>
      </c>
      <c r="I53" s="2" t="s">
        <v>551</v>
      </c>
      <c r="J53" s="2" t="s">
        <v>46</v>
      </c>
    </row>
    <row r="54">
      <c r="A54" s="3">
        <v>90687.0</v>
      </c>
      <c r="B54" s="2" t="s">
        <v>664</v>
      </c>
      <c r="C54" s="5">
        <v>46177.5571412037</v>
      </c>
      <c r="D54" s="2" t="s">
        <v>520</v>
      </c>
      <c r="E54" s="2" t="s">
        <v>665</v>
      </c>
      <c r="F54" s="3">
        <v>7.738354914E9</v>
      </c>
      <c r="G54" s="2" t="s">
        <v>49</v>
      </c>
      <c r="H54" s="2" t="s">
        <v>119</v>
      </c>
      <c r="I54" s="2" t="s">
        <v>666</v>
      </c>
      <c r="J54" s="2" t="s">
        <v>46</v>
      </c>
    </row>
    <row r="55">
      <c r="A55" s="3">
        <v>90688.0</v>
      </c>
      <c r="B55" s="2" t="s">
        <v>667</v>
      </c>
      <c r="C55" s="5">
        <v>46177.558796296296</v>
      </c>
      <c r="D55" s="2" t="s">
        <v>529</v>
      </c>
      <c r="E55" s="2" t="s">
        <v>668</v>
      </c>
      <c r="F55" s="3">
        <v>7.847811202E9</v>
      </c>
      <c r="G55" s="2" t="s">
        <v>49</v>
      </c>
      <c r="H55" s="2" t="s">
        <v>307</v>
      </c>
      <c r="I55" s="2" t="s">
        <v>669</v>
      </c>
      <c r="J55" s="2" t="s">
        <v>46</v>
      </c>
    </row>
    <row r="56">
      <c r="A56" s="3">
        <v>90689.0</v>
      </c>
      <c r="B56" s="2" t="s">
        <v>670</v>
      </c>
      <c r="C56" s="5">
        <v>46177.707662037035</v>
      </c>
      <c r="D56" s="2" t="s">
        <v>520</v>
      </c>
      <c r="E56" s="2" t="s">
        <v>671</v>
      </c>
      <c r="F56" s="3">
        <v>7.016806178E9</v>
      </c>
      <c r="G56" s="2" t="s">
        <v>49</v>
      </c>
      <c r="H56" s="2" t="s">
        <v>672</v>
      </c>
      <c r="I56" s="2" t="s">
        <v>673</v>
      </c>
      <c r="J56" s="2" t="s">
        <v>46</v>
      </c>
    </row>
    <row r="57">
      <c r="A57" s="3">
        <v>90690.0</v>
      </c>
      <c r="B57" s="2" t="s">
        <v>674</v>
      </c>
      <c r="C57" s="5">
        <v>46177.73372685185</v>
      </c>
      <c r="D57" s="2" t="s">
        <v>520</v>
      </c>
      <c r="E57" s="2" t="s">
        <v>675</v>
      </c>
      <c r="F57" s="3">
        <v>9.480337303E9</v>
      </c>
      <c r="G57" s="2" t="s">
        <v>49</v>
      </c>
      <c r="H57" s="2" t="s">
        <v>87</v>
      </c>
      <c r="I57" s="2" t="s">
        <v>86</v>
      </c>
      <c r="J57" s="2" t="s">
        <v>46</v>
      </c>
    </row>
    <row r="58">
      <c r="A58" s="3">
        <v>90691.0</v>
      </c>
      <c r="B58" s="2" t="s">
        <v>676</v>
      </c>
      <c r="C58" s="5">
        <v>46177.81047453704</v>
      </c>
      <c r="D58" s="2" t="s">
        <v>529</v>
      </c>
      <c r="E58" s="2" t="s">
        <v>677</v>
      </c>
      <c r="F58" s="3">
        <v>9.693541902E9</v>
      </c>
      <c r="G58" s="2" t="s">
        <v>49</v>
      </c>
      <c r="H58" s="2" t="s">
        <v>607</v>
      </c>
      <c r="I58" s="2" t="s">
        <v>607</v>
      </c>
      <c r="J58" s="2" t="s">
        <v>46</v>
      </c>
    </row>
    <row r="59">
      <c r="A59" s="3">
        <v>90692.0</v>
      </c>
      <c r="B59" s="2" t="s">
        <v>678</v>
      </c>
      <c r="C59" s="5">
        <v>46177.82436342593</v>
      </c>
      <c r="D59" s="2" t="s">
        <v>529</v>
      </c>
      <c r="E59" s="2" t="s">
        <v>679</v>
      </c>
      <c r="F59" s="3">
        <v>9.691407855E9</v>
      </c>
      <c r="G59" s="2" t="s">
        <v>49</v>
      </c>
      <c r="H59" s="2" t="s">
        <v>680</v>
      </c>
      <c r="I59" s="2" t="s">
        <v>681</v>
      </c>
      <c r="J59" s="2" t="s">
        <v>46</v>
      </c>
    </row>
    <row r="60">
      <c r="A60" s="3">
        <v>90694.0</v>
      </c>
      <c r="B60" s="2" t="s">
        <v>682</v>
      </c>
      <c r="C60" s="5">
        <v>46178.480833333335</v>
      </c>
      <c r="D60" s="2" t="s">
        <v>520</v>
      </c>
      <c r="E60" s="2" t="s">
        <v>683</v>
      </c>
      <c r="F60" s="3">
        <v>8.822246572E9</v>
      </c>
      <c r="G60" s="2" t="s">
        <v>49</v>
      </c>
      <c r="H60" s="2" t="s">
        <v>589</v>
      </c>
      <c r="I60" s="2" t="s">
        <v>684</v>
      </c>
      <c r="J60" s="2" t="s">
        <v>46</v>
      </c>
    </row>
    <row r="61">
      <c r="A61" s="3">
        <v>90695.0</v>
      </c>
      <c r="B61" s="2" t="s">
        <v>685</v>
      </c>
      <c r="C61" s="5">
        <v>46178.49543981482</v>
      </c>
      <c r="D61" s="2" t="s">
        <v>520</v>
      </c>
      <c r="E61" s="2" t="s">
        <v>686</v>
      </c>
      <c r="F61" s="3">
        <v>9.518965984E9</v>
      </c>
      <c r="G61" s="2" t="s">
        <v>49</v>
      </c>
      <c r="H61" s="2" t="s">
        <v>48</v>
      </c>
      <c r="I61" s="2" t="s">
        <v>47</v>
      </c>
      <c r="J61" s="2" t="s">
        <v>46</v>
      </c>
    </row>
    <row r="62">
      <c r="A62" s="3">
        <v>90696.0</v>
      </c>
      <c r="B62" s="2" t="s">
        <v>687</v>
      </c>
      <c r="C62" s="5">
        <v>46178.5240162037</v>
      </c>
      <c r="D62" s="2" t="s">
        <v>529</v>
      </c>
      <c r="E62" s="2" t="s">
        <v>688</v>
      </c>
      <c r="F62" s="3">
        <v>7.559382065E9</v>
      </c>
      <c r="G62" s="2" t="s">
        <v>49</v>
      </c>
      <c r="H62" s="2" t="s">
        <v>65</v>
      </c>
      <c r="I62" s="2" t="s">
        <v>689</v>
      </c>
      <c r="J62" s="2" t="s">
        <v>46</v>
      </c>
    </row>
    <row r="63">
      <c r="A63" s="3">
        <v>90697.0</v>
      </c>
      <c r="B63" s="2" t="s">
        <v>690</v>
      </c>
      <c r="C63" s="5">
        <v>46178.52987268518</v>
      </c>
      <c r="D63" s="2" t="s">
        <v>520</v>
      </c>
      <c r="E63" s="2" t="s">
        <v>691</v>
      </c>
      <c r="F63" s="3">
        <v>7.003235302E9</v>
      </c>
      <c r="G63" s="2" t="s">
        <v>49</v>
      </c>
      <c r="H63" s="2" t="s">
        <v>169</v>
      </c>
      <c r="I63" s="2" t="s">
        <v>312</v>
      </c>
      <c r="J63" s="2" t="s">
        <v>46</v>
      </c>
    </row>
    <row r="64">
      <c r="A64" s="3">
        <v>90698.0</v>
      </c>
      <c r="B64" s="2" t="s">
        <v>692</v>
      </c>
      <c r="C64" s="5">
        <v>46178.56512731482</v>
      </c>
      <c r="D64" s="2" t="s">
        <v>520</v>
      </c>
      <c r="E64" s="2" t="s">
        <v>693</v>
      </c>
      <c r="F64" s="3">
        <v>9.645084727E9</v>
      </c>
      <c r="G64" s="2" t="s">
        <v>49</v>
      </c>
      <c r="H64" s="2" t="s">
        <v>603</v>
      </c>
      <c r="I64" s="2" t="s">
        <v>694</v>
      </c>
      <c r="J64" s="2" t="s">
        <v>46</v>
      </c>
    </row>
    <row r="65">
      <c r="A65" s="3">
        <v>90699.0</v>
      </c>
      <c r="B65" s="2" t="s">
        <v>695</v>
      </c>
      <c r="C65" s="5">
        <v>46178.584027777775</v>
      </c>
      <c r="D65" s="2" t="s">
        <v>520</v>
      </c>
      <c r="E65" s="2" t="s">
        <v>696</v>
      </c>
      <c r="F65" s="3">
        <v>9.81267981E9</v>
      </c>
      <c r="G65" s="2" t="s">
        <v>49</v>
      </c>
      <c r="H65" s="2" t="s">
        <v>76</v>
      </c>
      <c r="I65" s="2" t="s">
        <v>697</v>
      </c>
      <c r="J65" s="2" t="s">
        <v>46</v>
      </c>
    </row>
    <row r="66">
      <c r="A66" s="3">
        <v>90700.0</v>
      </c>
      <c r="B66" s="2" t="s">
        <v>698</v>
      </c>
      <c r="C66" s="5">
        <v>46178.5937962963</v>
      </c>
      <c r="D66" s="2" t="s">
        <v>520</v>
      </c>
      <c r="E66" s="2" t="s">
        <v>699</v>
      </c>
      <c r="F66" s="8">
        <v>9.1898E11</v>
      </c>
      <c r="G66" s="2" t="s">
        <v>700</v>
      </c>
      <c r="H66" s="2" t="s">
        <v>701</v>
      </c>
      <c r="I66" s="2" t="s">
        <v>701</v>
      </c>
      <c r="J66" s="2" t="s">
        <v>46</v>
      </c>
    </row>
    <row r="67">
      <c r="A67" s="3">
        <v>90701.0</v>
      </c>
      <c r="B67" s="2" t="s">
        <v>702</v>
      </c>
      <c r="C67" s="5">
        <v>46178.61230324074</v>
      </c>
      <c r="D67" s="2" t="s">
        <v>529</v>
      </c>
      <c r="E67" s="2" t="s">
        <v>703</v>
      </c>
      <c r="F67" s="3">
        <v>8.079088842E9</v>
      </c>
      <c r="G67" s="2" t="s">
        <v>49</v>
      </c>
      <c r="H67" s="2" t="s">
        <v>173</v>
      </c>
      <c r="I67" s="2" t="s">
        <v>172</v>
      </c>
      <c r="J67" s="2" t="s">
        <v>704</v>
      </c>
    </row>
    <row r="68">
      <c r="A68" s="3">
        <v>90702.0</v>
      </c>
      <c r="B68" s="2" t="s">
        <v>705</v>
      </c>
      <c r="C68" s="5">
        <v>46178.6306712963</v>
      </c>
      <c r="D68" s="2" t="s">
        <v>520</v>
      </c>
      <c r="E68" s="2" t="s">
        <v>706</v>
      </c>
      <c r="F68" s="3">
        <v>8.82526162E9</v>
      </c>
      <c r="G68" s="2" t="s">
        <v>49</v>
      </c>
      <c r="H68" s="2" t="s">
        <v>672</v>
      </c>
      <c r="I68" s="2" t="s">
        <v>707</v>
      </c>
      <c r="J68" s="2" t="s">
        <v>46</v>
      </c>
    </row>
    <row r="69">
      <c r="A69" s="3">
        <v>90703.0</v>
      </c>
      <c r="B69" s="2" t="s">
        <v>708</v>
      </c>
      <c r="C69" s="5">
        <v>46178.64467592593</v>
      </c>
      <c r="D69" s="2" t="s">
        <v>529</v>
      </c>
      <c r="E69" s="2" t="s">
        <v>709</v>
      </c>
      <c r="F69" s="3">
        <v>9.98914565E9</v>
      </c>
      <c r="G69" s="2" t="s">
        <v>49</v>
      </c>
      <c r="H69" s="2" t="s">
        <v>194</v>
      </c>
      <c r="I69" s="2" t="s">
        <v>710</v>
      </c>
      <c r="J69" s="2" t="s">
        <v>46</v>
      </c>
    </row>
    <row r="70">
      <c r="A70" s="3">
        <v>90704.0</v>
      </c>
      <c r="B70" s="2" t="s">
        <v>711</v>
      </c>
      <c r="C70" s="5">
        <v>46178.685208333336</v>
      </c>
      <c r="D70" s="2" t="s">
        <v>520</v>
      </c>
      <c r="E70" s="2" t="s">
        <v>712</v>
      </c>
      <c r="F70" s="3">
        <v>9.834821503E9</v>
      </c>
      <c r="G70" s="2" t="s">
        <v>49</v>
      </c>
      <c r="H70" s="2" t="s">
        <v>87</v>
      </c>
      <c r="I70" s="2" t="s">
        <v>86</v>
      </c>
      <c r="J70" s="2" t="s">
        <v>46</v>
      </c>
    </row>
    <row r="71">
      <c r="A71" s="3">
        <v>90705.0</v>
      </c>
      <c r="B71" s="2" t="s">
        <v>713</v>
      </c>
      <c r="C71" s="5">
        <v>46178.72136574074</v>
      </c>
      <c r="D71" s="2" t="s">
        <v>529</v>
      </c>
      <c r="E71" s="2" t="s">
        <v>714</v>
      </c>
      <c r="F71" s="3">
        <v>8.076853242E9</v>
      </c>
      <c r="G71" s="2" t="s">
        <v>49</v>
      </c>
      <c r="H71" s="2" t="s">
        <v>79</v>
      </c>
      <c r="I71" s="2" t="s">
        <v>715</v>
      </c>
      <c r="J71" s="2" t="s">
        <v>46</v>
      </c>
    </row>
    <row r="72">
      <c r="A72" s="3">
        <v>90706.0</v>
      </c>
      <c r="B72" s="2" t="s">
        <v>716</v>
      </c>
      <c r="C72" s="5">
        <v>46178.748402777775</v>
      </c>
      <c r="D72" s="2" t="s">
        <v>529</v>
      </c>
      <c r="E72" s="2" t="s">
        <v>717</v>
      </c>
      <c r="F72" s="3">
        <v>7.009198203E9</v>
      </c>
      <c r="G72" s="2" t="s">
        <v>49</v>
      </c>
      <c r="H72" s="2" t="s">
        <v>224</v>
      </c>
      <c r="I72" s="2" t="s">
        <v>718</v>
      </c>
      <c r="J72" s="2" t="s">
        <v>46</v>
      </c>
    </row>
    <row r="73">
      <c r="A73" s="3">
        <v>90707.0</v>
      </c>
      <c r="B73" s="2" t="s">
        <v>719</v>
      </c>
      <c r="C73" s="5">
        <v>46178.77248842592</v>
      </c>
      <c r="D73" s="2" t="s">
        <v>529</v>
      </c>
      <c r="E73" s="2" t="s">
        <v>720</v>
      </c>
      <c r="F73" s="3">
        <v>9.175949717E9</v>
      </c>
      <c r="G73" s="2" t="s">
        <v>49</v>
      </c>
      <c r="H73" s="2" t="s">
        <v>48</v>
      </c>
      <c r="I73" s="2" t="s">
        <v>661</v>
      </c>
      <c r="J73" s="2" t="s">
        <v>46</v>
      </c>
    </row>
    <row r="74">
      <c r="A74" s="3">
        <v>90708.0</v>
      </c>
      <c r="B74" s="2" t="s">
        <v>721</v>
      </c>
      <c r="C74" s="5">
        <v>46178.83278935185</v>
      </c>
      <c r="D74" s="2" t="s">
        <v>520</v>
      </c>
      <c r="E74" s="2" t="s">
        <v>722</v>
      </c>
      <c r="F74" s="3">
        <v>7.973636826E9</v>
      </c>
      <c r="G74" s="2" t="s">
        <v>49</v>
      </c>
      <c r="H74" s="2" t="s">
        <v>534</v>
      </c>
      <c r="I74" s="2" t="s">
        <v>534</v>
      </c>
      <c r="J74" s="2" t="s">
        <v>46</v>
      </c>
    </row>
    <row r="75">
      <c r="A75" s="3">
        <v>90709.0</v>
      </c>
      <c r="B75" s="2" t="s">
        <v>723</v>
      </c>
      <c r="C75" s="5">
        <v>46178.887141203704</v>
      </c>
      <c r="D75" s="2" t="s">
        <v>529</v>
      </c>
      <c r="E75" s="2" t="s">
        <v>724</v>
      </c>
      <c r="F75" s="3">
        <v>9.811292748E9</v>
      </c>
      <c r="G75" s="2" t="s">
        <v>49</v>
      </c>
      <c r="H75" s="2" t="s">
        <v>87</v>
      </c>
      <c r="I75" s="2" t="s">
        <v>86</v>
      </c>
      <c r="J75" s="2" t="s">
        <v>46</v>
      </c>
    </row>
    <row r="76">
      <c r="A76" s="3">
        <v>90710.0</v>
      </c>
      <c r="B76" s="2" t="s">
        <v>725</v>
      </c>
      <c r="C76" s="5">
        <v>46178.904386574075</v>
      </c>
      <c r="D76" s="2" t="s">
        <v>520</v>
      </c>
      <c r="E76" s="2" t="s">
        <v>726</v>
      </c>
      <c r="F76" s="3">
        <v>8.849121809E9</v>
      </c>
      <c r="G76" s="2" t="s">
        <v>49</v>
      </c>
      <c r="H76" s="2" t="s">
        <v>672</v>
      </c>
      <c r="I76" s="2" t="s">
        <v>707</v>
      </c>
      <c r="J76" s="2" t="s">
        <v>46</v>
      </c>
    </row>
    <row r="77">
      <c r="A77" s="3">
        <v>90711.0</v>
      </c>
      <c r="B77" s="2" t="s">
        <v>727</v>
      </c>
      <c r="C77" s="5">
        <v>46178.92313657407</v>
      </c>
      <c r="D77" s="2" t="s">
        <v>520</v>
      </c>
      <c r="E77" s="2" t="s">
        <v>728</v>
      </c>
      <c r="F77" s="3">
        <v>7.668113064E9</v>
      </c>
      <c r="G77" s="2" t="s">
        <v>49</v>
      </c>
      <c r="H77" s="2" t="s">
        <v>76</v>
      </c>
      <c r="I77" s="2" t="s">
        <v>376</v>
      </c>
      <c r="J77" s="2" t="s">
        <v>46</v>
      </c>
    </row>
    <row r="78">
      <c r="A78" s="3">
        <v>90712.0</v>
      </c>
      <c r="B78" s="2" t="s">
        <v>729</v>
      </c>
      <c r="C78" s="5">
        <v>46179.004375</v>
      </c>
      <c r="D78" s="2" t="s">
        <v>529</v>
      </c>
      <c r="E78" s="2" t="s">
        <v>730</v>
      </c>
      <c r="F78" s="3">
        <v>9.980661237E9</v>
      </c>
      <c r="G78" s="2" t="s">
        <v>49</v>
      </c>
      <c r="H78" s="2" t="s">
        <v>194</v>
      </c>
      <c r="I78" s="2" t="s">
        <v>193</v>
      </c>
      <c r="J78" s="2" t="s">
        <v>46</v>
      </c>
    </row>
    <row r="79">
      <c r="A79" s="3">
        <v>90713.0</v>
      </c>
      <c r="B79" s="2" t="s">
        <v>731</v>
      </c>
      <c r="C79" s="5">
        <v>46179.00777777778</v>
      </c>
      <c r="D79" s="2" t="s">
        <v>520</v>
      </c>
      <c r="E79" s="2" t="s">
        <v>732</v>
      </c>
      <c r="F79" s="3">
        <v>7.795589292E9</v>
      </c>
      <c r="G79" s="2" t="s">
        <v>49</v>
      </c>
      <c r="H79" s="2" t="s">
        <v>87</v>
      </c>
      <c r="I79" s="2" t="s">
        <v>86</v>
      </c>
      <c r="J79" s="2" t="s">
        <v>46</v>
      </c>
    </row>
    <row r="80">
      <c r="A80" s="3">
        <v>90714.0</v>
      </c>
      <c r="B80" s="2" t="s">
        <v>733</v>
      </c>
      <c r="C80" s="5">
        <v>46179.431296296294</v>
      </c>
      <c r="D80" s="2" t="s">
        <v>520</v>
      </c>
      <c r="E80" s="2" t="s">
        <v>734</v>
      </c>
      <c r="F80" s="3">
        <v>8.5301008E9</v>
      </c>
      <c r="G80" s="2" t="s">
        <v>49</v>
      </c>
      <c r="H80" s="2" t="s">
        <v>672</v>
      </c>
      <c r="I80" s="2" t="s">
        <v>735</v>
      </c>
      <c r="J80" s="2" t="s">
        <v>46</v>
      </c>
    </row>
    <row r="81">
      <c r="A81" s="3">
        <v>90715.0</v>
      </c>
      <c r="B81" s="2" t="s">
        <v>736</v>
      </c>
      <c r="C81" s="5">
        <v>46179.47288194444</v>
      </c>
      <c r="D81" s="2" t="s">
        <v>529</v>
      </c>
      <c r="E81" s="2" t="s">
        <v>737</v>
      </c>
      <c r="F81" s="3">
        <v>7.076535785E9</v>
      </c>
      <c r="G81" s="2" t="s">
        <v>49</v>
      </c>
      <c r="H81" s="2" t="s">
        <v>65</v>
      </c>
      <c r="I81" s="2" t="s">
        <v>738</v>
      </c>
      <c r="J81" s="2" t="s">
        <v>46</v>
      </c>
    </row>
    <row r="82">
      <c r="A82" s="3">
        <v>90716.0</v>
      </c>
      <c r="B82" s="2" t="s">
        <v>739</v>
      </c>
      <c r="C82" s="5">
        <v>46179.49564814815</v>
      </c>
      <c r="D82" s="2" t="s">
        <v>520</v>
      </c>
      <c r="E82" s="2" t="s">
        <v>740</v>
      </c>
      <c r="F82" s="6" t="str">
        <f>+91 88061 24024</f>
        <v>#ERROR!</v>
      </c>
      <c r="G82" s="2" t="s">
        <v>127</v>
      </c>
      <c r="H82" s="2" t="s">
        <v>741</v>
      </c>
      <c r="I82" s="2" t="s">
        <v>742</v>
      </c>
      <c r="J82" s="2" t="s">
        <v>46</v>
      </c>
    </row>
    <row r="83">
      <c r="A83" s="3">
        <v>90717.0</v>
      </c>
      <c r="B83" s="2" t="s">
        <v>743</v>
      </c>
      <c r="C83" s="5">
        <v>46179.517280092594</v>
      </c>
      <c r="D83" s="2" t="s">
        <v>520</v>
      </c>
      <c r="E83" s="2" t="s">
        <v>744</v>
      </c>
      <c r="F83" s="3">
        <v>8.827274799E9</v>
      </c>
      <c r="G83" s="2" t="s">
        <v>49</v>
      </c>
      <c r="H83" s="2" t="s">
        <v>212</v>
      </c>
      <c r="I83" s="2" t="s">
        <v>745</v>
      </c>
      <c r="J83" s="2" t="s">
        <v>46</v>
      </c>
    </row>
    <row r="84">
      <c r="A84" s="3">
        <v>90718.0</v>
      </c>
      <c r="B84" s="2" t="s">
        <v>746</v>
      </c>
      <c r="C84" s="5">
        <v>46179.56228009259</v>
      </c>
      <c r="D84" s="2" t="s">
        <v>520</v>
      </c>
      <c r="E84" s="2" t="s">
        <v>747</v>
      </c>
      <c r="F84" s="3">
        <v>6.200528828E9</v>
      </c>
      <c r="G84" s="2" t="s">
        <v>49</v>
      </c>
      <c r="H84" s="2" t="s">
        <v>607</v>
      </c>
      <c r="I84" s="2" t="s">
        <v>748</v>
      </c>
      <c r="J84" s="2" t="s">
        <v>46</v>
      </c>
    </row>
    <row r="85">
      <c r="A85" s="3">
        <v>90719.0</v>
      </c>
      <c r="B85" s="2" t="s">
        <v>749</v>
      </c>
      <c r="C85" s="5">
        <v>46179.68032407408</v>
      </c>
      <c r="D85" s="2" t="s">
        <v>529</v>
      </c>
      <c r="E85" s="2" t="s">
        <v>750</v>
      </c>
      <c r="F85" s="3">
        <v>9.871603566E9</v>
      </c>
      <c r="G85" s="2" t="s">
        <v>49</v>
      </c>
      <c r="H85" s="2" t="s">
        <v>79</v>
      </c>
      <c r="I85" s="2" t="s">
        <v>583</v>
      </c>
      <c r="J85" s="2" t="s">
        <v>704</v>
      </c>
    </row>
    <row r="86">
      <c r="A86" s="3">
        <v>90720.0</v>
      </c>
      <c r="B86" s="2" t="s">
        <v>751</v>
      </c>
      <c r="C86" s="5">
        <v>46179.69818287037</v>
      </c>
      <c r="D86" s="2" t="s">
        <v>520</v>
      </c>
      <c r="E86" s="2" t="s">
        <v>752</v>
      </c>
      <c r="F86" s="3">
        <v>9.205034916E9</v>
      </c>
      <c r="G86" s="2" t="s">
        <v>49</v>
      </c>
      <c r="H86" s="2" t="s">
        <v>79</v>
      </c>
      <c r="I86" s="2" t="s">
        <v>753</v>
      </c>
      <c r="J86" s="2" t="s">
        <v>46</v>
      </c>
    </row>
    <row r="87">
      <c r="A87" s="3">
        <v>90721.0</v>
      </c>
      <c r="B87" s="2" t="s">
        <v>754</v>
      </c>
      <c r="C87" s="5">
        <v>46179.7090625</v>
      </c>
      <c r="D87" s="2" t="s">
        <v>529</v>
      </c>
      <c r="E87" s="2" t="s">
        <v>755</v>
      </c>
      <c r="F87" s="3">
        <v>6.290483233E9</v>
      </c>
      <c r="G87" s="2" t="s">
        <v>49</v>
      </c>
      <c r="H87" s="2" t="s">
        <v>65</v>
      </c>
      <c r="I87" s="2" t="s">
        <v>103</v>
      </c>
      <c r="J87" s="2" t="s">
        <v>46</v>
      </c>
    </row>
    <row r="88">
      <c r="A88" s="3">
        <v>90722.0</v>
      </c>
      <c r="B88" s="2" t="s">
        <v>756</v>
      </c>
      <c r="C88" s="5">
        <v>46179.72869212963</v>
      </c>
      <c r="D88" s="2" t="s">
        <v>529</v>
      </c>
      <c r="E88" s="2" t="s">
        <v>757</v>
      </c>
      <c r="F88" s="3">
        <v>8.981380136E9</v>
      </c>
      <c r="G88" s="2" t="s">
        <v>49</v>
      </c>
      <c r="H88" s="2" t="s">
        <v>65</v>
      </c>
      <c r="I88" s="2" t="s">
        <v>199</v>
      </c>
      <c r="J88" s="2" t="s">
        <v>46</v>
      </c>
    </row>
    <row r="89">
      <c r="A89" s="3">
        <v>90723.0</v>
      </c>
      <c r="B89" s="2" t="s">
        <v>758</v>
      </c>
      <c r="C89" s="5">
        <v>46179.880960648145</v>
      </c>
      <c r="D89" s="2" t="s">
        <v>520</v>
      </c>
      <c r="E89" s="2" t="s">
        <v>759</v>
      </c>
      <c r="F89" s="3">
        <v>8.950695392E9</v>
      </c>
      <c r="G89" s="2" t="s">
        <v>49</v>
      </c>
      <c r="H89" s="2" t="s">
        <v>87</v>
      </c>
      <c r="I89" s="2" t="s">
        <v>86</v>
      </c>
      <c r="J89" s="2" t="s">
        <v>46</v>
      </c>
    </row>
    <row r="90">
      <c r="A90" s="3">
        <v>90724.0</v>
      </c>
      <c r="B90" s="2" t="s">
        <v>760</v>
      </c>
      <c r="C90" s="5">
        <v>46179.9584375</v>
      </c>
      <c r="D90" s="2" t="s">
        <v>520</v>
      </c>
      <c r="E90" s="2" t="s">
        <v>761</v>
      </c>
      <c r="F90" s="3">
        <v>6.289847723E9</v>
      </c>
      <c r="G90" s="2" t="s">
        <v>49</v>
      </c>
      <c r="H90" s="2" t="s">
        <v>65</v>
      </c>
      <c r="I90" s="2" t="s">
        <v>199</v>
      </c>
      <c r="J90" s="2" t="s">
        <v>46</v>
      </c>
    </row>
    <row r="91">
      <c r="A91" s="3">
        <v>90725.0</v>
      </c>
      <c r="B91" s="2" t="s">
        <v>762</v>
      </c>
      <c r="C91" s="5">
        <v>46180.01505787037</v>
      </c>
      <c r="D91" s="2" t="s">
        <v>529</v>
      </c>
      <c r="E91" s="2" t="s">
        <v>763</v>
      </c>
      <c r="F91" s="3">
        <v>9.346106731E9</v>
      </c>
      <c r="G91" s="2" t="s">
        <v>49</v>
      </c>
      <c r="H91" s="2" t="s">
        <v>194</v>
      </c>
      <c r="I91" s="2" t="s">
        <v>193</v>
      </c>
      <c r="J91" s="2" t="s">
        <v>46</v>
      </c>
    </row>
    <row r="92">
      <c r="A92" s="3">
        <v>90726.0</v>
      </c>
      <c r="B92" s="2" t="s">
        <v>764</v>
      </c>
      <c r="C92" s="5">
        <v>46180.491643518515</v>
      </c>
      <c r="D92" s="2" t="s">
        <v>520</v>
      </c>
      <c r="E92" s="2" t="s">
        <v>765</v>
      </c>
      <c r="F92" s="3">
        <v>9.599491503E9</v>
      </c>
      <c r="G92" s="2" t="s">
        <v>49</v>
      </c>
      <c r="H92" s="2" t="s">
        <v>87</v>
      </c>
      <c r="I92" s="2" t="s">
        <v>86</v>
      </c>
      <c r="J92" s="6"/>
      <c r="K92" s="6"/>
    </row>
    <row r="93">
      <c r="A93" s="3">
        <v>90727.0</v>
      </c>
      <c r="B93" s="2" t="s">
        <v>766</v>
      </c>
      <c r="C93" s="5">
        <v>46180.65516203704</v>
      </c>
      <c r="D93" s="2" t="s">
        <v>520</v>
      </c>
      <c r="E93" s="2" t="s">
        <v>767</v>
      </c>
      <c r="F93" s="3">
        <v>7.061944879E9</v>
      </c>
      <c r="G93" s="2" t="s">
        <v>49</v>
      </c>
      <c r="H93" s="2" t="s">
        <v>607</v>
      </c>
      <c r="I93" s="2" t="s">
        <v>768</v>
      </c>
      <c r="J93" s="2" t="s">
        <v>46</v>
      </c>
    </row>
    <row r="94">
      <c r="A94" s="3">
        <v>90728.0</v>
      </c>
      <c r="B94" s="2" t="s">
        <v>769</v>
      </c>
      <c r="C94" s="5">
        <v>46180.873194444444</v>
      </c>
      <c r="D94" s="2" t="s">
        <v>520</v>
      </c>
      <c r="E94" s="2" t="s">
        <v>770</v>
      </c>
      <c r="F94" s="3">
        <v>7.719620318E9</v>
      </c>
      <c r="G94" s="2" t="s">
        <v>49</v>
      </c>
      <c r="H94" s="2" t="s">
        <v>534</v>
      </c>
      <c r="I94" s="2" t="s">
        <v>534</v>
      </c>
      <c r="J94" s="2" t="s">
        <v>46</v>
      </c>
    </row>
    <row r="95">
      <c r="A95" s="3">
        <v>90729.0</v>
      </c>
      <c r="B95" s="2" t="s">
        <v>771</v>
      </c>
      <c r="C95" s="5">
        <v>46180.87954861111</v>
      </c>
      <c r="D95" s="2" t="s">
        <v>520</v>
      </c>
      <c r="E95" s="2" t="s">
        <v>772</v>
      </c>
      <c r="F95" s="3">
        <v>7.200755749E9</v>
      </c>
      <c r="G95" s="2" t="s">
        <v>49</v>
      </c>
      <c r="H95" s="2" t="s">
        <v>169</v>
      </c>
      <c r="I95" s="2" t="s">
        <v>773</v>
      </c>
      <c r="J95" s="2" t="s">
        <v>46</v>
      </c>
    </row>
    <row r="96">
      <c r="A96" s="3">
        <v>90730.0</v>
      </c>
      <c r="B96" s="2" t="s">
        <v>774</v>
      </c>
      <c r="C96" s="5">
        <v>46180.89728009259</v>
      </c>
      <c r="D96" s="2" t="s">
        <v>520</v>
      </c>
      <c r="E96" s="2" t="s">
        <v>775</v>
      </c>
      <c r="F96" s="3">
        <v>9.663842031E9</v>
      </c>
      <c r="G96" s="2" t="s">
        <v>49</v>
      </c>
      <c r="H96" s="2" t="s">
        <v>87</v>
      </c>
      <c r="I96" s="2" t="s">
        <v>776</v>
      </c>
      <c r="J96" s="2" t="s">
        <v>46</v>
      </c>
    </row>
    <row r="97">
      <c r="A97" s="3">
        <v>90731.0</v>
      </c>
      <c r="B97" s="2" t="s">
        <v>777</v>
      </c>
      <c r="C97" s="5">
        <v>46180.91737268519</v>
      </c>
      <c r="D97" s="2" t="s">
        <v>520</v>
      </c>
      <c r="E97" s="2" t="s">
        <v>778</v>
      </c>
      <c r="F97" s="3">
        <v>9.284085595E9</v>
      </c>
      <c r="G97" s="2" t="s">
        <v>49</v>
      </c>
      <c r="H97" s="2" t="s">
        <v>48</v>
      </c>
      <c r="I97" s="2" t="s">
        <v>779</v>
      </c>
      <c r="J97" s="2" t="s">
        <v>46</v>
      </c>
    </row>
    <row r="98">
      <c r="A98" s="3">
        <v>90732.0</v>
      </c>
      <c r="B98" s="2" t="s">
        <v>780</v>
      </c>
      <c r="C98" s="5">
        <v>46180.93010416667</v>
      </c>
      <c r="D98" s="2" t="s">
        <v>520</v>
      </c>
      <c r="E98" s="2" t="s">
        <v>781</v>
      </c>
      <c r="F98" s="3">
        <v>7.838489286E9</v>
      </c>
      <c r="G98" s="2" t="s">
        <v>49</v>
      </c>
      <c r="H98" s="2" t="s">
        <v>570</v>
      </c>
      <c r="I98" s="2" t="s">
        <v>782</v>
      </c>
      <c r="J98" s="2" t="s">
        <v>46</v>
      </c>
    </row>
    <row r="99">
      <c r="A99" s="3">
        <v>90733.0</v>
      </c>
      <c r="B99" s="2" t="s">
        <v>783</v>
      </c>
      <c r="C99" s="5">
        <v>46180.931550925925</v>
      </c>
      <c r="D99" s="2" t="s">
        <v>529</v>
      </c>
      <c r="E99" s="2" t="s">
        <v>784</v>
      </c>
      <c r="F99" s="3">
        <v>7.951029326E9</v>
      </c>
      <c r="G99" s="2" t="s">
        <v>614</v>
      </c>
      <c r="H99" s="2" t="s">
        <v>785</v>
      </c>
      <c r="I99" s="2" t="s">
        <v>786</v>
      </c>
      <c r="J99" s="2" t="s">
        <v>46</v>
      </c>
    </row>
    <row r="100">
      <c r="A100" s="3">
        <v>90734.0</v>
      </c>
      <c r="B100" s="2" t="s">
        <v>787</v>
      </c>
      <c r="C100" s="5">
        <v>46180.939675925925</v>
      </c>
      <c r="D100" s="2" t="s">
        <v>520</v>
      </c>
      <c r="E100" s="2" t="s">
        <v>788</v>
      </c>
      <c r="F100" s="3">
        <v>9.301118633E9</v>
      </c>
      <c r="G100" s="2" t="s">
        <v>49</v>
      </c>
      <c r="H100" s="2" t="s">
        <v>212</v>
      </c>
      <c r="I100" s="2" t="s">
        <v>789</v>
      </c>
      <c r="J100" s="2" t="s">
        <v>46</v>
      </c>
    </row>
    <row r="101">
      <c r="A101" s="3">
        <v>90735.0</v>
      </c>
      <c r="B101" s="2" t="s">
        <v>790</v>
      </c>
      <c r="C101" s="5">
        <v>46181.056226851855</v>
      </c>
      <c r="D101" s="2" t="s">
        <v>520</v>
      </c>
      <c r="E101" s="2" t="s">
        <v>791</v>
      </c>
      <c r="F101" s="3">
        <v>9.041161521E9</v>
      </c>
      <c r="G101" s="2" t="s">
        <v>49</v>
      </c>
      <c r="H101" s="2" t="s">
        <v>224</v>
      </c>
      <c r="I101" s="2" t="s">
        <v>792</v>
      </c>
      <c r="J101" s="2" t="s">
        <v>46</v>
      </c>
    </row>
    <row r="102">
      <c r="A102" s="3">
        <v>90736.0</v>
      </c>
      <c r="B102" s="2" t="s">
        <v>793</v>
      </c>
      <c r="C102" s="5">
        <v>46181.28974537037</v>
      </c>
      <c r="D102" s="2" t="s">
        <v>529</v>
      </c>
      <c r="E102" s="2" t="s">
        <v>794</v>
      </c>
      <c r="F102" s="3">
        <v>8.278455896E9</v>
      </c>
      <c r="G102" s="2" t="s">
        <v>49</v>
      </c>
      <c r="H102" s="2" t="s">
        <v>76</v>
      </c>
      <c r="I102" s="2" t="s">
        <v>795</v>
      </c>
      <c r="J102" s="2" t="s">
        <v>46</v>
      </c>
    </row>
    <row r="103">
      <c r="A103" s="3">
        <v>90737.0</v>
      </c>
      <c r="B103" s="2" t="s">
        <v>796</v>
      </c>
      <c r="C103" s="5">
        <v>46181.41371527778</v>
      </c>
      <c r="D103" s="2" t="s">
        <v>529</v>
      </c>
      <c r="E103" s="2" t="s">
        <v>797</v>
      </c>
      <c r="F103" s="3">
        <v>9.03613141E9</v>
      </c>
      <c r="G103" s="2" t="s">
        <v>49</v>
      </c>
      <c r="H103" s="2" t="s">
        <v>169</v>
      </c>
      <c r="I103" s="2" t="s">
        <v>299</v>
      </c>
      <c r="J103" s="2" t="s">
        <v>46</v>
      </c>
    </row>
    <row r="104">
      <c r="A104" s="3">
        <v>90738.0</v>
      </c>
      <c r="B104" s="2" t="s">
        <v>798</v>
      </c>
      <c r="C104" s="5">
        <v>46181.43578703704</v>
      </c>
      <c r="D104" s="2" t="s">
        <v>520</v>
      </c>
      <c r="E104" s="2" t="s">
        <v>799</v>
      </c>
      <c r="F104" s="3">
        <v>8.828188282E9</v>
      </c>
      <c r="G104" s="2" t="s">
        <v>49</v>
      </c>
      <c r="H104" s="2" t="s">
        <v>48</v>
      </c>
      <c r="I104" s="2" t="s">
        <v>47</v>
      </c>
      <c r="J104" s="2" t="s">
        <v>46</v>
      </c>
    </row>
    <row r="105">
      <c r="A105" s="3">
        <v>90739.0</v>
      </c>
      <c r="B105" s="2" t="s">
        <v>800</v>
      </c>
      <c r="C105" s="5">
        <v>46181.44673611111</v>
      </c>
      <c r="D105" s="2" t="s">
        <v>520</v>
      </c>
      <c r="E105" s="2" t="s">
        <v>801</v>
      </c>
      <c r="F105" s="3">
        <v>8.384039057E9</v>
      </c>
      <c r="G105" s="2" t="s">
        <v>49</v>
      </c>
      <c r="H105" s="2" t="s">
        <v>79</v>
      </c>
      <c r="I105" s="2" t="s">
        <v>583</v>
      </c>
      <c r="J105" s="2" t="s">
        <v>46</v>
      </c>
    </row>
    <row r="106">
      <c r="A106" s="3">
        <v>90740.0</v>
      </c>
      <c r="B106" s="2" t="s">
        <v>802</v>
      </c>
      <c r="C106" s="5">
        <v>46181.46457175926</v>
      </c>
      <c r="D106" s="2" t="s">
        <v>529</v>
      </c>
      <c r="E106" s="2" t="s">
        <v>803</v>
      </c>
      <c r="F106" s="3">
        <v>9.721726839E9</v>
      </c>
      <c r="G106" s="2" t="s">
        <v>49</v>
      </c>
      <c r="H106" s="2" t="s">
        <v>79</v>
      </c>
      <c r="I106" s="2" t="s">
        <v>804</v>
      </c>
      <c r="J106" s="6"/>
      <c r="K106" s="6"/>
    </row>
    <row r="107">
      <c r="A107" s="3">
        <v>90741.0</v>
      </c>
      <c r="B107" s="2" t="s">
        <v>805</v>
      </c>
      <c r="C107" s="5">
        <v>46181.55370370371</v>
      </c>
      <c r="D107" s="2" t="s">
        <v>520</v>
      </c>
      <c r="E107" s="2" t="s">
        <v>806</v>
      </c>
      <c r="F107" s="3">
        <v>9.369009714E9</v>
      </c>
      <c r="G107" s="2" t="s">
        <v>49</v>
      </c>
      <c r="H107" s="2" t="s">
        <v>79</v>
      </c>
      <c r="I107" s="2" t="s">
        <v>807</v>
      </c>
      <c r="J107" s="2" t="s">
        <v>46</v>
      </c>
    </row>
    <row r="108">
      <c r="A108" s="3">
        <v>90742.0</v>
      </c>
      <c r="B108" s="2" t="s">
        <v>808</v>
      </c>
      <c r="C108" s="5">
        <v>46181.56716435185</v>
      </c>
      <c r="D108" s="2" t="s">
        <v>529</v>
      </c>
      <c r="E108" s="2" t="s">
        <v>809</v>
      </c>
      <c r="F108" s="3">
        <v>7.904722323E9</v>
      </c>
      <c r="G108" s="2" t="s">
        <v>49</v>
      </c>
      <c r="H108" s="2" t="s">
        <v>169</v>
      </c>
      <c r="I108" s="2" t="s">
        <v>168</v>
      </c>
      <c r="J108" s="2" t="s">
        <v>46</v>
      </c>
    </row>
    <row r="109">
      <c r="A109" s="3">
        <v>90743.0</v>
      </c>
      <c r="B109" s="2" t="s">
        <v>810</v>
      </c>
      <c r="C109" s="5">
        <v>46181.57273148148</v>
      </c>
      <c r="D109" s="2" t="s">
        <v>520</v>
      </c>
      <c r="E109" s="2" t="s">
        <v>811</v>
      </c>
      <c r="F109" s="3">
        <v>6.367022775E9</v>
      </c>
      <c r="G109" s="2" t="s">
        <v>49</v>
      </c>
      <c r="H109" s="2" t="s">
        <v>173</v>
      </c>
      <c r="I109" s="2" t="s">
        <v>812</v>
      </c>
      <c r="J109" s="2" t="s">
        <v>46</v>
      </c>
    </row>
    <row r="110">
      <c r="A110" s="3">
        <v>90744.0</v>
      </c>
      <c r="B110" s="2" t="s">
        <v>813</v>
      </c>
      <c r="C110" s="5">
        <v>46181.580775462964</v>
      </c>
      <c r="D110" s="2" t="s">
        <v>520</v>
      </c>
      <c r="E110" s="2" t="s">
        <v>814</v>
      </c>
      <c r="F110" s="3">
        <v>8.54389037E9</v>
      </c>
      <c r="G110" s="2" t="s">
        <v>49</v>
      </c>
      <c r="H110" s="2" t="s">
        <v>79</v>
      </c>
      <c r="I110" s="2" t="s">
        <v>815</v>
      </c>
      <c r="J110" s="2" t="s">
        <v>46</v>
      </c>
    </row>
    <row r="111">
      <c r="A111" s="3">
        <v>90745.0</v>
      </c>
      <c r="B111" s="2" t="s">
        <v>816</v>
      </c>
      <c r="C111" s="5">
        <v>46181.63623842593</v>
      </c>
      <c r="D111" s="2" t="s">
        <v>520</v>
      </c>
      <c r="E111" s="2" t="s">
        <v>817</v>
      </c>
      <c r="F111" s="3">
        <v>8.446167457E9</v>
      </c>
      <c r="G111" s="2" t="s">
        <v>49</v>
      </c>
      <c r="H111" s="2" t="s">
        <v>48</v>
      </c>
      <c r="I111" s="2" t="s">
        <v>818</v>
      </c>
      <c r="J111" s="2" t="s">
        <v>46</v>
      </c>
    </row>
    <row r="112">
      <c r="A112" s="3">
        <v>90746.0</v>
      </c>
      <c r="B112" s="2" t="s">
        <v>819</v>
      </c>
      <c r="C112" s="5">
        <v>46181.63872685185</v>
      </c>
      <c r="D112" s="2" t="s">
        <v>520</v>
      </c>
      <c r="E112" s="2" t="s">
        <v>820</v>
      </c>
      <c r="F112" s="3">
        <v>9.9674018E9</v>
      </c>
      <c r="G112" s="2" t="s">
        <v>49</v>
      </c>
      <c r="H112" s="2" t="s">
        <v>48</v>
      </c>
      <c r="I112" s="2" t="s">
        <v>573</v>
      </c>
      <c r="J112" s="2" t="s">
        <v>46</v>
      </c>
    </row>
    <row r="113">
      <c r="A113" s="3">
        <v>90747.0</v>
      </c>
      <c r="B113" s="2" t="s">
        <v>821</v>
      </c>
      <c r="C113" s="5">
        <v>46181.70034722222</v>
      </c>
      <c r="D113" s="2" t="s">
        <v>520</v>
      </c>
      <c r="E113" s="2" t="s">
        <v>822</v>
      </c>
      <c r="F113" s="3">
        <v>9.428427042E9</v>
      </c>
      <c r="G113" s="2" t="s">
        <v>49</v>
      </c>
      <c r="H113" s="2" t="s">
        <v>672</v>
      </c>
      <c r="I113" s="2" t="s">
        <v>735</v>
      </c>
      <c r="J113" s="2" t="s">
        <v>46</v>
      </c>
    </row>
    <row r="114">
      <c r="A114" s="3">
        <v>90748.0</v>
      </c>
      <c r="B114" s="2" t="s">
        <v>823</v>
      </c>
      <c r="C114" s="5">
        <v>46181.73546296296</v>
      </c>
      <c r="D114" s="2" t="s">
        <v>520</v>
      </c>
      <c r="E114" s="2" t="s">
        <v>824</v>
      </c>
      <c r="F114" s="3">
        <v>9.521124299E9</v>
      </c>
      <c r="G114" s="2" t="s">
        <v>49</v>
      </c>
      <c r="H114" s="2" t="s">
        <v>87</v>
      </c>
      <c r="I114" s="2" t="s">
        <v>86</v>
      </c>
      <c r="J114" s="2" t="s">
        <v>46</v>
      </c>
    </row>
    <row r="115">
      <c r="A115" s="3">
        <v>90749.0</v>
      </c>
      <c r="B115" s="2" t="s">
        <v>825</v>
      </c>
      <c r="C115" s="5">
        <v>46181.7412962963</v>
      </c>
      <c r="D115" s="2" t="s">
        <v>529</v>
      </c>
      <c r="E115" s="2" t="s">
        <v>826</v>
      </c>
      <c r="F115" s="3">
        <v>7.05162431E9</v>
      </c>
      <c r="G115" s="2" t="s">
        <v>49</v>
      </c>
      <c r="H115" s="2" t="s">
        <v>648</v>
      </c>
      <c r="I115" s="2" t="s">
        <v>827</v>
      </c>
      <c r="J115" s="2" t="s">
        <v>828</v>
      </c>
      <c r="K115" s="6"/>
    </row>
    <row r="116">
      <c r="A116" s="3">
        <v>90750.0</v>
      </c>
      <c r="B116" s="2" t="s">
        <v>829</v>
      </c>
      <c r="C116" s="5">
        <v>46181.85523148148</v>
      </c>
      <c r="D116" s="2" t="s">
        <v>520</v>
      </c>
      <c r="E116" s="2" t="s">
        <v>830</v>
      </c>
      <c r="F116" s="3">
        <v>8.830811151E9</v>
      </c>
      <c r="G116" s="2" t="s">
        <v>49</v>
      </c>
      <c r="H116" s="2" t="s">
        <v>48</v>
      </c>
      <c r="I116" s="2" t="s">
        <v>831</v>
      </c>
      <c r="J116" s="2" t="s">
        <v>46</v>
      </c>
    </row>
    <row r="117">
      <c r="A117" s="3">
        <v>90751.0</v>
      </c>
      <c r="B117" s="2" t="s">
        <v>832</v>
      </c>
      <c r="C117" s="5">
        <v>46181.88006944444</v>
      </c>
      <c r="D117" s="2" t="s">
        <v>520</v>
      </c>
      <c r="E117" s="2" t="s">
        <v>833</v>
      </c>
      <c r="F117" s="3">
        <v>9.16732235E9</v>
      </c>
      <c r="G117" s="2" t="s">
        <v>49</v>
      </c>
      <c r="H117" s="2" t="s">
        <v>48</v>
      </c>
      <c r="I117" s="2" t="s">
        <v>47</v>
      </c>
      <c r="J117" s="2" t="s">
        <v>46</v>
      </c>
    </row>
    <row r="118">
      <c r="A118" s="3">
        <v>90752.0</v>
      </c>
      <c r="B118" s="2" t="s">
        <v>834</v>
      </c>
      <c r="C118" s="5">
        <v>46181.88108796296</v>
      </c>
      <c r="D118" s="2" t="s">
        <v>520</v>
      </c>
      <c r="E118" s="2" t="s">
        <v>835</v>
      </c>
      <c r="F118" s="6" t="str">
        <f>+45 50386859</f>
        <v>#ERROR!</v>
      </c>
      <c r="G118" s="2" t="s">
        <v>836</v>
      </c>
      <c r="H118" s="2" t="s">
        <v>837</v>
      </c>
      <c r="I118" s="2" t="s">
        <v>838</v>
      </c>
      <c r="J118" s="2" t="s">
        <v>46</v>
      </c>
    </row>
    <row r="119">
      <c r="A119" s="3">
        <v>90753.0</v>
      </c>
      <c r="B119" s="2" t="s">
        <v>839</v>
      </c>
      <c r="C119" s="5">
        <v>46181.89439814815</v>
      </c>
      <c r="D119" s="2" t="s">
        <v>529</v>
      </c>
      <c r="E119" s="2" t="s">
        <v>840</v>
      </c>
      <c r="F119" s="3">
        <v>8.610655881E9</v>
      </c>
      <c r="G119" s="2" t="s">
        <v>49</v>
      </c>
      <c r="H119" s="2" t="s">
        <v>169</v>
      </c>
      <c r="I119" s="2" t="s">
        <v>773</v>
      </c>
      <c r="J119" s="2" t="s">
        <v>46</v>
      </c>
    </row>
    <row r="120">
      <c r="A120" s="3">
        <v>90754.0</v>
      </c>
      <c r="B120" s="2" t="s">
        <v>841</v>
      </c>
      <c r="C120" s="5">
        <v>46181.993159722224</v>
      </c>
      <c r="D120" s="2" t="s">
        <v>520</v>
      </c>
      <c r="E120" s="2" t="s">
        <v>842</v>
      </c>
      <c r="F120" s="3">
        <v>9.236972955E9</v>
      </c>
      <c r="G120" s="2" t="s">
        <v>49</v>
      </c>
      <c r="H120" s="2" t="s">
        <v>79</v>
      </c>
      <c r="I120" s="2" t="s">
        <v>807</v>
      </c>
      <c r="J120" s="2" t="s">
        <v>46</v>
      </c>
    </row>
    <row r="121">
      <c r="A121" s="3">
        <v>90755.0</v>
      </c>
      <c r="B121" s="2" t="s">
        <v>843</v>
      </c>
      <c r="C121" s="5">
        <v>46181.999074074076</v>
      </c>
      <c r="D121" s="2" t="s">
        <v>520</v>
      </c>
      <c r="E121" s="2" t="s">
        <v>844</v>
      </c>
      <c r="F121" s="3">
        <v>9.335555272E9</v>
      </c>
      <c r="G121" s="2" t="s">
        <v>49</v>
      </c>
      <c r="H121" s="2" t="s">
        <v>79</v>
      </c>
      <c r="I121" s="2" t="s">
        <v>807</v>
      </c>
      <c r="J121" s="2" t="s">
        <v>46</v>
      </c>
    </row>
    <row r="122">
      <c r="A122" s="3">
        <v>90756.0</v>
      </c>
      <c r="B122" s="2" t="s">
        <v>845</v>
      </c>
      <c r="C122" s="5">
        <v>46182.0281712963</v>
      </c>
      <c r="D122" s="2" t="s">
        <v>520</v>
      </c>
      <c r="E122" s="2" t="s">
        <v>846</v>
      </c>
      <c r="F122" s="3">
        <v>3.31356403E9</v>
      </c>
      <c r="G122" s="2" t="s">
        <v>127</v>
      </c>
      <c r="H122" s="2" t="s">
        <v>847</v>
      </c>
      <c r="I122" s="2" t="s">
        <v>848</v>
      </c>
      <c r="J122" s="2" t="s">
        <v>46</v>
      </c>
    </row>
    <row r="123">
      <c r="A123" s="3">
        <v>90757.0</v>
      </c>
      <c r="B123" s="2" t="s">
        <v>849</v>
      </c>
      <c r="C123" s="5">
        <v>46182.12936342593</v>
      </c>
      <c r="D123" s="2" t="s">
        <v>529</v>
      </c>
      <c r="E123" s="2" t="s">
        <v>850</v>
      </c>
      <c r="F123" s="3">
        <v>7.87632575E9</v>
      </c>
      <c r="G123" s="2" t="s">
        <v>49</v>
      </c>
      <c r="H123" s="2" t="s">
        <v>851</v>
      </c>
      <c r="I123" s="2" t="s">
        <v>852</v>
      </c>
      <c r="J123" s="2" t="s">
        <v>46</v>
      </c>
    </row>
    <row r="124">
      <c r="A124" s="3">
        <v>90758.0</v>
      </c>
      <c r="B124" s="2" t="s">
        <v>853</v>
      </c>
      <c r="C124" s="5">
        <v>46182.268113425926</v>
      </c>
      <c r="D124" s="2" t="s">
        <v>520</v>
      </c>
      <c r="E124" s="2" t="s">
        <v>854</v>
      </c>
      <c r="F124" s="3">
        <v>4.084016223E9</v>
      </c>
      <c r="G124" s="2" t="s">
        <v>127</v>
      </c>
      <c r="H124" s="2" t="s">
        <v>855</v>
      </c>
      <c r="I124" s="2" t="s">
        <v>856</v>
      </c>
      <c r="J124" s="2" t="s">
        <v>46</v>
      </c>
    </row>
    <row r="125">
      <c r="A125" s="3">
        <v>90759.0</v>
      </c>
      <c r="B125" s="2" t="s">
        <v>857</v>
      </c>
      <c r="C125" s="5">
        <v>46182.37601851852</v>
      </c>
      <c r="D125" s="2" t="s">
        <v>529</v>
      </c>
      <c r="E125" s="2" t="s">
        <v>858</v>
      </c>
      <c r="F125" s="3">
        <v>9.910122528E9</v>
      </c>
      <c r="G125" s="2" t="s">
        <v>49</v>
      </c>
      <c r="H125" s="2" t="s">
        <v>570</v>
      </c>
      <c r="I125" s="2" t="s">
        <v>782</v>
      </c>
      <c r="J125" s="2" t="s">
        <v>46</v>
      </c>
    </row>
    <row r="126">
      <c r="A126" s="3">
        <v>90761.0</v>
      </c>
      <c r="B126" s="2" t="s">
        <v>859</v>
      </c>
      <c r="C126" s="5">
        <v>46182.4103125</v>
      </c>
      <c r="D126" s="2" t="s">
        <v>520</v>
      </c>
      <c r="E126" s="2" t="s">
        <v>860</v>
      </c>
      <c r="F126" s="3">
        <v>8.70047334E9</v>
      </c>
      <c r="G126" s="2" t="s">
        <v>49</v>
      </c>
      <c r="H126" s="2" t="s">
        <v>79</v>
      </c>
      <c r="I126" s="2" t="s">
        <v>583</v>
      </c>
      <c r="J126" s="2" t="s">
        <v>46</v>
      </c>
    </row>
    <row r="127">
      <c r="A127" s="3">
        <v>90762.0</v>
      </c>
      <c r="B127" s="2" t="s">
        <v>861</v>
      </c>
      <c r="C127" s="5">
        <v>46182.4484375</v>
      </c>
      <c r="D127" s="2" t="s">
        <v>529</v>
      </c>
      <c r="E127" s="2" t="s">
        <v>862</v>
      </c>
      <c r="F127" s="3">
        <v>7.696967286E9</v>
      </c>
      <c r="G127" s="2" t="s">
        <v>49</v>
      </c>
      <c r="H127" s="2" t="s">
        <v>65</v>
      </c>
      <c r="I127" s="2" t="s">
        <v>863</v>
      </c>
      <c r="J127" s="2" t="s">
        <v>46</v>
      </c>
    </row>
    <row r="128">
      <c r="A128" s="3">
        <v>90763.0</v>
      </c>
      <c r="B128" s="2" t="s">
        <v>864</v>
      </c>
      <c r="C128" s="5">
        <v>46182.50403935185</v>
      </c>
      <c r="D128" s="2" t="s">
        <v>520</v>
      </c>
      <c r="E128" s="2" t="s">
        <v>865</v>
      </c>
      <c r="F128" s="3">
        <v>9.877900699E9</v>
      </c>
      <c r="G128" s="2" t="s">
        <v>49</v>
      </c>
      <c r="H128" s="2" t="s">
        <v>534</v>
      </c>
      <c r="I128" s="2" t="s">
        <v>534</v>
      </c>
      <c r="J128" s="2" t="s">
        <v>46</v>
      </c>
    </row>
    <row r="129">
      <c r="A129" s="3">
        <v>90764.0</v>
      </c>
      <c r="B129" s="2" t="s">
        <v>866</v>
      </c>
      <c r="C129" s="5">
        <v>46182.506215277775</v>
      </c>
      <c r="D129" s="2" t="s">
        <v>529</v>
      </c>
      <c r="E129" s="2" t="s">
        <v>867</v>
      </c>
      <c r="F129" s="3">
        <v>7.016482042E9</v>
      </c>
      <c r="G129" s="2" t="s">
        <v>49</v>
      </c>
      <c r="H129" s="2" t="s">
        <v>48</v>
      </c>
      <c r="I129" s="2" t="s">
        <v>551</v>
      </c>
      <c r="J129" s="2" t="s">
        <v>46</v>
      </c>
    </row>
    <row r="130">
      <c r="A130" s="3">
        <v>90765.0</v>
      </c>
      <c r="B130" s="2" t="s">
        <v>868</v>
      </c>
      <c r="C130" s="5">
        <v>46182.54429398148</v>
      </c>
      <c r="D130" s="2" t="s">
        <v>520</v>
      </c>
      <c r="E130" s="2" t="s">
        <v>869</v>
      </c>
      <c r="F130" s="3">
        <v>7.999520623E9</v>
      </c>
      <c r="G130" s="2" t="s">
        <v>49</v>
      </c>
      <c r="H130" s="2" t="s">
        <v>212</v>
      </c>
      <c r="I130" s="2" t="s">
        <v>350</v>
      </c>
      <c r="J130" s="2" t="s">
        <v>46</v>
      </c>
    </row>
    <row r="131">
      <c r="A131" s="3">
        <v>90766.0</v>
      </c>
      <c r="B131" s="2" t="s">
        <v>870</v>
      </c>
      <c r="C131" s="5">
        <v>46182.54765046296</v>
      </c>
      <c r="D131" s="2" t="s">
        <v>520</v>
      </c>
      <c r="E131" s="2" t="s">
        <v>871</v>
      </c>
      <c r="F131" s="3">
        <v>9.445715646E9</v>
      </c>
      <c r="G131" s="2" t="s">
        <v>49</v>
      </c>
      <c r="H131" s="2" t="s">
        <v>169</v>
      </c>
      <c r="I131" s="2" t="s">
        <v>299</v>
      </c>
      <c r="J131" s="2" t="s">
        <v>46</v>
      </c>
    </row>
    <row r="132">
      <c r="A132" s="3">
        <v>90767.0</v>
      </c>
      <c r="B132" s="2" t="s">
        <v>872</v>
      </c>
      <c r="C132" s="5">
        <v>46182.54775462963</v>
      </c>
      <c r="D132" s="2" t="s">
        <v>520</v>
      </c>
      <c r="E132" s="2" t="s">
        <v>873</v>
      </c>
      <c r="F132" s="3">
        <v>9.672988784E9</v>
      </c>
      <c r="G132" s="2" t="s">
        <v>49</v>
      </c>
      <c r="H132" s="2" t="s">
        <v>79</v>
      </c>
      <c r="I132" s="2" t="s">
        <v>874</v>
      </c>
      <c r="J132" s="2" t="s">
        <v>46</v>
      </c>
    </row>
    <row r="133">
      <c r="A133" s="3">
        <v>90768.0</v>
      </c>
      <c r="B133" s="2" t="s">
        <v>875</v>
      </c>
      <c r="C133" s="5">
        <v>46182.64129629629</v>
      </c>
      <c r="D133" s="2" t="s">
        <v>520</v>
      </c>
      <c r="E133" s="2" t="s">
        <v>876</v>
      </c>
      <c r="F133" s="3">
        <v>7.075660421E9</v>
      </c>
      <c r="G133" s="2" t="s">
        <v>49</v>
      </c>
      <c r="H133" s="2" t="s">
        <v>194</v>
      </c>
      <c r="I133" s="2" t="s">
        <v>193</v>
      </c>
      <c r="J133" s="2" t="s">
        <v>46</v>
      </c>
    </row>
    <row r="134">
      <c r="A134" s="3">
        <v>90769.0</v>
      </c>
      <c r="B134" s="2" t="s">
        <v>877</v>
      </c>
      <c r="C134" s="5">
        <v>46182.64792824074</v>
      </c>
      <c r="D134" s="2" t="s">
        <v>520</v>
      </c>
      <c r="E134" s="2" t="s">
        <v>878</v>
      </c>
      <c r="F134" s="3">
        <v>6.290552417E9</v>
      </c>
      <c r="G134" s="2" t="s">
        <v>49</v>
      </c>
      <c r="H134" s="2" t="s">
        <v>65</v>
      </c>
      <c r="I134" s="2" t="s">
        <v>103</v>
      </c>
      <c r="J134" s="2" t="s">
        <v>46</v>
      </c>
    </row>
    <row r="135">
      <c r="A135" s="3">
        <v>90770.0</v>
      </c>
      <c r="B135" s="2" t="s">
        <v>879</v>
      </c>
      <c r="C135" s="5">
        <v>46182.75347222222</v>
      </c>
      <c r="D135" s="2" t="s">
        <v>520</v>
      </c>
      <c r="E135" s="2" t="s">
        <v>880</v>
      </c>
      <c r="F135" s="3">
        <v>8.121576444E9</v>
      </c>
      <c r="G135" s="2" t="s">
        <v>49</v>
      </c>
      <c r="H135" s="2" t="s">
        <v>194</v>
      </c>
      <c r="I135" s="2" t="s">
        <v>193</v>
      </c>
      <c r="J135" s="2" t="s">
        <v>46</v>
      </c>
    </row>
    <row r="136">
      <c r="A136" s="3">
        <v>90771.0</v>
      </c>
      <c r="B136" s="2" t="s">
        <v>881</v>
      </c>
      <c r="C136" s="5">
        <v>46182.8203587963</v>
      </c>
      <c r="D136" s="2" t="s">
        <v>520</v>
      </c>
      <c r="E136" s="2" t="s">
        <v>882</v>
      </c>
      <c r="F136" s="3">
        <v>7.999260935E9</v>
      </c>
      <c r="G136" s="2" t="s">
        <v>49</v>
      </c>
      <c r="H136" s="2" t="s">
        <v>212</v>
      </c>
      <c r="I136" s="2" t="s">
        <v>789</v>
      </c>
      <c r="J136" s="2" t="s">
        <v>46</v>
      </c>
    </row>
    <row r="137">
      <c r="A137" s="3">
        <v>90772.0</v>
      </c>
      <c r="B137" s="2" t="s">
        <v>883</v>
      </c>
      <c r="C137" s="5">
        <v>46182.879155092596</v>
      </c>
      <c r="D137" s="2" t="s">
        <v>520</v>
      </c>
      <c r="E137" s="2" t="s">
        <v>884</v>
      </c>
      <c r="F137" s="3">
        <v>7.710393844E9</v>
      </c>
      <c r="G137" s="2" t="s">
        <v>49</v>
      </c>
      <c r="H137" s="2" t="s">
        <v>224</v>
      </c>
      <c r="I137" s="2" t="s">
        <v>885</v>
      </c>
      <c r="J137" s="2" t="s">
        <v>46</v>
      </c>
    </row>
    <row r="138">
      <c r="A138" s="3">
        <v>90773.0</v>
      </c>
      <c r="B138" s="2" t="s">
        <v>886</v>
      </c>
      <c r="C138" s="5">
        <v>46182.89094907408</v>
      </c>
      <c r="D138" s="2" t="s">
        <v>520</v>
      </c>
      <c r="E138" s="2" t="s">
        <v>887</v>
      </c>
      <c r="F138" s="6" t="str">
        <f>+91 9972005001</f>
        <v>#ERROR!</v>
      </c>
      <c r="G138" s="2" t="s">
        <v>49</v>
      </c>
      <c r="H138" s="2" t="s">
        <v>87</v>
      </c>
      <c r="I138" s="2" t="s">
        <v>86</v>
      </c>
      <c r="J138" s="2" t="s">
        <v>46</v>
      </c>
    </row>
    <row r="139">
      <c r="A139" s="3">
        <v>90774.0</v>
      </c>
      <c r="B139" s="2" t="s">
        <v>888</v>
      </c>
      <c r="C139" s="5">
        <v>46182.93050925926</v>
      </c>
      <c r="D139" s="2" t="s">
        <v>520</v>
      </c>
      <c r="E139" s="2" t="s">
        <v>889</v>
      </c>
      <c r="F139" s="3">
        <v>8.978011713E9</v>
      </c>
      <c r="G139" s="2" t="s">
        <v>49</v>
      </c>
      <c r="H139" s="2" t="s">
        <v>224</v>
      </c>
      <c r="I139" s="2" t="s">
        <v>890</v>
      </c>
      <c r="J139" s="2" t="s">
        <v>46</v>
      </c>
    </row>
    <row r="140">
      <c r="A140" s="3">
        <v>90775.0</v>
      </c>
      <c r="B140" s="2" t="s">
        <v>891</v>
      </c>
      <c r="C140" s="5">
        <v>46182.950636574074</v>
      </c>
      <c r="D140" s="2" t="s">
        <v>520</v>
      </c>
      <c r="E140" s="2" t="s">
        <v>892</v>
      </c>
      <c r="F140" s="3">
        <v>9.284641534E9</v>
      </c>
      <c r="G140" s="2" t="s">
        <v>49</v>
      </c>
      <c r="H140" s="2" t="s">
        <v>48</v>
      </c>
      <c r="I140" s="2" t="s">
        <v>551</v>
      </c>
      <c r="J140" s="2" t="s">
        <v>46</v>
      </c>
    </row>
    <row r="141">
      <c r="A141" s="3">
        <v>90776.0</v>
      </c>
      <c r="B141" s="2" t="s">
        <v>893</v>
      </c>
      <c r="C141" s="5">
        <v>46182.98415509259</v>
      </c>
      <c r="D141" s="2" t="s">
        <v>529</v>
      </c>
      <c r="E141" s="2" t="s">
        <v>894</v>
      </c>
      <c r="F141" s="3">
        <v>9.652033411E9</v>
      </c>
      <c r="G141" s="2" t="s">
        <v>49</v>
      </c>
      <c r="H141" s="2" t="s">
        <v>194</v>
      </c>
      <c r="I141" s="2" t="s">
        <v>895</v>
      </c>
      <c r="J141" s="2" t="s">
        <v>46</v>
      </c>
    </row>
    <row r="142">
      <c r="A142" s="3">
        <v>90777.0</v>
      </c>
      <c r="B142" s="2" t="s">
        <v>896</v>
      </c>
      <c r="C142" s="5">
        <v>46182.995520833334</v>
      </c>
      <c r="D142" s="2" t="s">
        <v>529</v>
      </c>
      <c r="E142" s="2" t="s">
        <v>897</v>
      </c>
      <c r="F142" s="3">
        <v>7.017617707E9</v>
      </c>
      <c r="G142" s="2" t="s">
        <v>49</v>
      </c>
      <c r="H142" s="2" t="s">
        <v>79</v>
      </c>
      <c r="I142" s="2" t="s">
        <v>567</v>
      </c>
      <c r="J142" s="2" t="s">
        <v>46</v>
      </c>
    </row>
    <row r="143">
      <c r="A143" s="3">
        <v>90791.0</v>
      </c>
      <c r="B143" s="2" t="s">
        <v>898</v>
      </c>
      <c r="C143" s="5">
        <v>46183.37809027778</v>
      </c>
      <c r="D143" s="2" t="s">
        <v>529</v>
      </c>
      <c r="E143" s="2" t="s">
        <v>899</v>
      </c>
      <c r="F143" s="3">
        <v>7.891928405E9</v>
      </c>
      <c r="G143" s="2" t="s">
        <v>49</v>
      </c>
      <c r="H143" s="2" t="s">
        <v>87</v>
      </c>
      <c r="I143" s="2" t="s">
        <v>86</v>
      </c>
      <c r="J143" s="2" t="s">
        <v>46</v>
      </c>
    </row>
    <row r="144">
      <c r="A144" s="3">
        <v>90792.0</v>
      </c>
      <c r="B144" s="2" t="s">
        <v>900</v>
      </c>
      <c r="C144" s="5">
        <v>46183.40238425926</v>
      </c>
      <c r="D144" s="2" t="s">
        <v>520</v>
      </c>
      <c r="E144" s="2" t="s">
        <v>901</v>
      </c>
      <c r="F144" s="3">
        <v>9.879513586E9</v>
      </c>
      <c r="G144" s="2" t="s">
        <v>49</v>
      </c>
      <c r="H144" s="2" t="s">
        <v>76</v>
      </c>
      <c r="I144" s="2" t="s">
        <v>376</v>
      </c>
      <c r="J144" s="2" t="s">
        <v>46</v>
      </c>
    </row>
    <row r="145">
      <c r="A145" s="3">
        <v>90802.0</v>
      </c>
      <c r="B145" s="2" t="s">
        <v>902</v>
      </c>
      <c r="C145" s="5">
        <v>46183.46743055555</v>
      </c>
      <c r="E145" s="2" t="s">
        <v>903</v>
      </c>
      <c r="F145" s="3">
        <v>8.309032443E9</v>
      </c>
      <c r="G145" s="6"/>
      <c r="H145" s="6"/>
      <c r="I145" s="6"/>
      <c r="J145" s="2" t="s">
        <v>904</v>
      </c>
    </row>
    <row r="146">
      <c r="A146" s="3">
        <v>90803.0</v>
      </c>
      <c r="B146" s="2" t="s">
        <v>905</v>
      </c>
      <c r="C146" s="5">
        <v>46183.549791666665</v>
      </c>
      <c r="D146" s="2" t="s">
        <v>529</v>
      </c>
      <c r="E146" s="2" t="s">
        <v>906</v>
      </c>
      <c r="F146" s="3">
        <v>9.131502728E9</v>
      </c>
      <c r="G146" s="2" t="s">
        <v>49</v>
      </c>
      <c r="H146" s="2" t="s">
        <v>194</v>
      </c>
      <c r="I146" s="2" t="s">
        <v>193</v>
      </c>
      <c r="J146" s="2" t="s">
        <v>46</v>
      </c>
    </row>
    <row r="147">
      <c r="A147" s="3">
        <v>90804.0</v>
      </c>
      <c r="B147" s="2" t="s">
        <v>907</v>
      </c>
      <c r="C147" s="5">
        <v>46183.62305555555</v>
      </c>
      <c r="D147" s="2" t="s">
        <v>520</v>
      </c>
      <c r="E147" s="2" t="s">
        <v>908</v>
      </c>
      <c r="F147" s="3">
        <v>7.988504442E9</v>
      </c>
      <c r="G147" s="2" t="s">
        <v>49</v>
      </c>
      <c r="H147" s="2" t="s">
        <v>570</v>
      </c>
      <c r="I147" s="2" t="s">
        <v>782</v>
      </c>
      <c r="J147" s="2" t="s">
        <v>46</v>
      </c>
    </row>
    <row r="148">
      <c r="A148" s="3">
        <v>90805.0</v>
      </c>
      <c r="B148" s="2" t="s">
        <v>909</v>
      </c>
      <c r="C148" s="5">
        <v>46183.6834375</v>
      </c>
      <c r="D148" s="2" t="s">
        <v>529</v>
      </c>
      <c r="E148" s="2" t="s">
        <v>910</v>
      </c>
      <c r="F148" s="3">
        <v>9.584604093E9</v>
      </c>
      <c r="G148" s="2" t="s">
        <v>49</v>
      </c>
      <c r="H148" s="2" t="s">
        <v>212</v>
      </c>
      <c r="I148" s="2" t="s">
        <v>911</v>
      </c>
      <c r="J148" s="2" t="s">
        <v>46</v>
      </c>
    </row>
    <row r="149">
      <c r="A149" s="3">
        <v>90806.0</v>
      </c>
      <c r="B149" s="2" t="s">
        <v>912</v>
      </c>
      <c r="C149" s="5">
        <v>46183.76833333333</v>
      </c>
      <c r="D149" s="2" t="s">
        <v>520</v>
      </c>
      <c r="E149" s="2" t="s">
        <v>913</v>
      </c>
      <c r="F149" s="3">
        <v>9.910589826E9</v>
      </c>
      <c r="G149" s="2" t="s">
        <v>49</v>
      </c>
      <c r="H149" s="2" t="s">
        <v>79</v>
      </c>
      <c r="I149" s="2" t="s">
        <v>583</v>
      </c>
      <c r="J149" s="2" t="s">
        <v>46</v>
      </c>
    </row>
    <row r="150">
      <c r="A150" s="3">
        <v>90807.0</v>
      </c>
      <c r="B150" s="2" t="s">
        <v>914</v>
      </c>
      <c r="C150" s="5">
        <v>46183.80152777778</v>
      </c>
      <c r="D150" s="2" t="s">
        <v>529</v>
      </c>
      <c r="E150" s="2" t="s">
        <v>915</v>
      </c>
      <c r="F150" s="3">
        <v>9.310517285E9</v>
      </c>
      <c r="G150" s="2" t="s">
        <v>916</v>
      </c>
      <c r="H150" s="2" t="s">
        <v>917</v>
      </c>
      <c r="I150" s="2" t="s">
        <v>918</v>
      </c>
      <c r="J150" s="6"/>
      <c r="K150" s="6"/>
    </row>
    <row r="151">
      <c r="A151" s="3">
        <v>90808.0</v>
      </c>
      <c r="B151" s="2" t="s">
        <v>919</v>
      </c>
      <c r="C151" s="5">
        <v>46183.802465277775</v>
      </c>
      <c r="D151" s="2" t="s">
        <v>520</v>
      </c>
      <c r="E151" s="2" t="s">
        <v>920</v>
      </c>
      <c r="F151" s="3">
        <v>8.957058577E9</v>
      </c>
      <c r="G151" s="2" t="s">
        <v>49</v>
      </c>
      <c r="H151" s="2" t="s">
        <v>79</v>
      </c>
      <c r="I151" s="2" t="s">
        <v>807</v>
      </c>
      <c r="J151" s="2" t="s">
        <v>46</v>
      </c>
    </row>
    <row r="152">
      <c r="A152" s="3">
        <v>90809.0</v>
      </c>
      <c r="B152" s="2" t="s">
        <v>921</v>
      </c>
      <c r="C152" s="5">
        <v>46183.84743055556</v>
      </c>
      <c r="D152" s="2" t="s">
        <v>520</v>
      </c>
      <c r="E152" s="2" t="s">
        <v>922</v>
      </c>
      <c r="F152" s="3">
        <v>9.334376524E9</v>
      </c>
      <c r="G152" s="2" t="s">
        <v>49</v>
      </c>
      <c r="H152" s="2" t="s">
        <v>119</v>
      </c>
      <c r="I152" s="2" t="s">
        <v>118</v>
      </c>
      <c r="J152" s="2" t="s">
        <v>46</v>
      </c>
    </row>
    <row r="153">
      <c r="A153" s="3">
        <v>90810.0</v>
      </c>
      <c r="B153" s="2" t="s">
        <v>923</v>
      </c>
      <c r="C153" s="5">
        <v>46183.859085648146</v>
      </c>
      <c r="D153" s="2" t="s">
        <v>520</v>
      </c>
      <c r="E153" s="2" t="s">
        <v>924</v>
      </c>
      <c r="F153" s="3">
        <v>9.81882861E9</v>
      </c>
      <c r="G153" s="2" t="s">
        <v>49</v>
      </c>
      <c r="H153" s="2" t="s">
        <v>570</v>
      </c>
      <c r="I153" s="2" t="s">
        <v>782</v>
      </c>
      <c r="J153" s="2" t="s">
        <v>46</v>
      </c>
    </row>
    <row r="154">
      <c r="A154" s="3">
        <v>90811.0</v>
      </c>
      <c r="B154" s="2" t="s">
        <v>925</v>
      </c>
      <c r="C154" s="5">
        <v>46184.05042824074</v>
      </c>
      <c r="D154" s="2" t="s">
        <v>520</v>
      </c>
      <c r="E154" s="2" t="s">
        <v>926</v>
      </c>
      <c r="F154" s="3">
        <v>9.95334506E9</v>
      </c>
      <c r="G154" s="2" t="s">
        <v>49</v>
      </c>
      <c r="H154" s="2" t="s">
        <v>570</v>
      </c>
      <c r="I154" s="2" t="s">
        <v>782</v>
      </c>
      <c r="J154" s="2" t="s">
        <v>46</v>
      </c>
    </row>
    <row r="155">
      <c r="A155" s="3">
        <v>90812.0</v>
      </c>
      <c r="B155" s="2" t="s">
        <v>927</v>
      </c>
      <c r="C155" s="5">
        <v>46184.25199074074</v>
      </c>
      <c r="D155" s="2" t="s">
        <v>520</v>
      </c>
      <c r="E155" s="2" t="s">
        <v>928</v>
      </c>
      <c r="F155" s="8">
        <v>1.9735E10</v>
      </c>
      <c r="G155" s="2" t="s">
        <v>127</v>
      </c>
      <c r="H155" s="2" t="s">
        <v>929</v>
      </c>
      <c r="I155" s="2" t="s">
        <v>930</v>
      </c>
      <c r="J155" s="2" t="s">
        <v>46</v>
      </c>
    </row>
    <row r="156">
      <c r="A156" s="3">
        <v>90813.0</v>
      </c>
      <c r="B156" s="2" t="s">
        <v>931</v>
      </c>
      <c r="C156" s="5">
        <v>46184.369259259256</v>
      </c>
      <c r="D156" s="2" t="s">
        <v>529</v>
      </c>
      <c r="E156" s="2" t="s">
        <v>932</v>
      </c>
      <c r="F156" s="3">
        <v>7.04736576E9</v>
      </c>
      <c r="G156" s="2" t="s">
        <v>49</v>
      </c>
      <c r="H156" s="2" t="s">
        <v>212</v>
      </c>
      <c r="I156" s="2" t="s">
        <v>911</v>
      </c>
      <c r="J156" s="2" t="s">
        <v>46</v>
      </c>
    </row>
    <row r="157">
      <c r="A157" s="3">
        <v>90814.0</v>
      </c>
      <c r="B157" s="2" t="s">
        <v>933</v>
      </c>
      <c r="C157" s="5">
        <v>46184.40898148148</v>
      </c>
      <c r="D157" s="2" t="s">
        <v>520</v>
      </c>
      <c r="E157" s="2" t="s">
        <v>934</v>
      </c>
      <c r="F157" s="3">
        <v>8.595840626E9</v>
      </c>
      <c r="G157" s="2" t="s">
        <v>49</v>
      </c>
      <c r="H157" s="2" t="s">
        <v>79</v>
      </c>
      <c r="I157" s="2" t="s">
        <v>874</v>
      </c>
      <c r="J157" s="2" t="s">
        <v>46</v>
      </c>
    </row>
    <row r="158">
      <c r="A158" s="3">
        <v>90815.0</v>
      </c>
      <c r="B158" s="2" t="s">
        <v>935</v>
      </c>
      <c r="C158" s="5">
        <v>46184.457233796296</v>
      </c>
      <c r="D158" s="2" t="s">
        <v>529</v>
      </c>
      <c r="E158" s="2" t="s">
        <v>936</v>
      </c>
      <c r="F158" s="3">
        <v>9.131850942E9</v>
      </c>
      <c r="G158" s="2" t="s">
        <v>49</v>
      </c>
      <c r="H158" s="2" t="s">
        <v>212</v>
      </c>
      <c r="I158" s="2" t="s">
        <v>745</v>
      </c>
      <c r="J158" s="2" t="s">
        <v>46</v>
      </c>
    </row>
    <row r="159">
      <c r="A159" s="3">
        <v>90816.0</v>
      </c>
      <c r="B159" s="2" t="s">
        <v>937</v>
      </c>
      <c r="C159" s="5">
        <v>46184.56601851852</v>
      </c>
      <c r="D159" s="2" t="s">
        <v>520</v>
      </c>
      <c r="E159" s="2" t="s">
        <v>938</v>
      </c>
      <c r="F159" s="3">
        <v>9.899993463E9</v>
      </c>
      <c r="G159" s="2" t="s">
        <v>49</v>
      </c>
      <c r="H159" s="2" t="s">
        <v>87</v>
      </c>
      <c r="I159" s="2" t="s">
        <v>86</v>
      </c>
      <c r="J159" s="2" t="s">
        <v>46</v>
      </c>
    </row>
    <row r="160">
      <c r="A160" s="3">
        <v>90817.0</v>
      </c>
      <c r="B160" s="2" t="s">
        <v>939</v>
      </c>
      <c r="C160" s="5">
        <v>46184.60758101852</v>
      </c>
      <c r="D160" s="2" t="s">
        <v>520</v>
      </c>
      <c r="E160" s="2" t="s">
        <v>940</v>
      </c>
      <c r="F160" s="3">
        <v>9.321659026E9</v>
      </c>
      <c r="G160" s="2" t="s">
        <v>49</v>
      </c>
      <c r="H160" s="2" t="s">
        <v>48</v>
      </c>
      <c r="I160" s="2" t="s">
        <v>240</v>
      </c>
      <c r="J160" s="2" t="s">
        <v>46</v>
      </c>
    </row>
    <row r="161">
      <c r="A161" s="3">
        <v>90818.0</v>
      </c>
      <c r="B161" s="2" t="s">
        <v>941</v>
      </c>
      <c r="C161" s="5">
        <v>46184.6087962963</v>
      </c>
      <c r="D161" s="2" t="s">
        <v>529</v>
      </c>
      <c r="E161" s="2" t="s">
        <v>942</v>
      </c>
      <c r="F161" s="3">
        <v>7.23688907E9</v>
      </c>
      <c r="G161" s="2" t="s">
        <v>49</v>
      </c>
      <c r="H161" s="2" t="s">
        <v>79</v>
      </c>
      <c r="I161" s="2" t="s">
        <v>943</v>
      </c>
      <c r="J161" s="2" t="s">
        <v>46</v>
      </c>
    </row>
    <row r="162">
      <c r="A162" s="3">
        <v>90819.0</v>
      </c>
      <c r="B162" s="2" t="s">
        <v>944</v>
      </c>
      <c r="C162" s="5">
        <v>46184.62740740741</v>
      </c>
      <c r="D162" s="2" t="s">
        <v>520</v>
      </c>
      <c r="E162" s="2" t="s">
        <v>945</v>
      </c>
      <c r="F162" s="3">
        <v>9.30709307E9</v>
      </c>
      <c r="G162" s="2" t="s">
        <v>49</v>
      </c>
      <c r="H162" s="2" t="s">
        <v>194</v>
      </c>
      <c r="I162" s="2" t="s">
        <v>193</v>
      </c>
      <c r="J162" s="2" t="s">
        <v>46</v>
      </c>
    </row>
    <row r="163">
      <c r="A163" s="3">
        <v>90820.0</v>
      </c>
      <c r="B163" s="2" t="s">
        <v>946</v>
      </c>
      <c r="C163" s="5">
        <v>46184.6565162037</v>
      </c>
      <c r="D163" s="2" t="s">
        <v>520</v>
      </c>
      <c r="E163" s="2" t="s">
        <v>947</v>
      </c>
      <c r="F163" s="3">
        <v>8.292065865E9</v>
      </c>
      <c r="G163" s="2" t="s">
        <v>49</v>
      </c>
      <c r="H163" s="2" t="s">
        <v>79</v>
      </c>
      <c r="I163" s="2" t="s">
        <v>753</v>
      </c>
      <c r="J163" s="2" t="s">
        <v>46</v>
      </c>
    </row>
    <row r="164">
      <c r="A164" s="3">
        <v>90821.0</v>
      </c>
      <c r="B164" s="2" t="s">
        <v>948</v>
      </c>
      <c r="C164" s="5">
        <v>46184.667650462965</v>
      </c>
      <c r="D164" s="2" t="s">
        <v>529</v>
      </c>
      <c r="E164" s="2" t="s">
        <v>949</v>
      </c>
      <c r="F164" s="3">
        <v>9.927731125E9</v>
      </c>
      <c r="G164" s="2" t="s">
        <v>49</v>
      </c>
      <c r="H164" s="2" t="s">
        <v>570</v>
      </c>
      <c r="I164" s="2" t="s">
        <v>570</v>
      </c>
      <c r="J164" s="2" t="s">
        <v>46</v>
      </c>
    </row>
    <row r="165">
      <c r="A165" s="3">
        <v>90822.0</v>
      </c>
      <c r="B165" s="2" t="s">
        <v>950</v>
      </c>
      <c r="C165" s="5">
        <v>46184.7590162037</v>
      </c>
      <c r="D165" s="2" t="s">
        <v>520</v>
      </c>
      <c r="E165" s="2" t="s">
        <v>951</v>
      </c>
      <c r="F165" s="3">
        <v>9.410264205E9</v>
      </c>
      <c r="G165" s="2" t="s">
        <v>49</v>
      </c>
      <c r="H165" s="2" t="s">
        <v>570</v>
      </c>
      <c r="I165" s="2" t="s">
        <v>782</v>
      </c>
      <c r="J165" s="2" t="s">
        <v>46</v>
      </c>
    </row>
    <row r="166">
      <c r="A166" s="3">
        <v>90823.0</v>
      </c>
      <c r="B166" s="2" t="s">
        <v>952</v>
      </c>
      <c r="C166" s="5">
        <v>46184.8412962963</v>
      </c>
      <c r="D166" s="2" t="s">
        <v>520</v>
      </c>
      <c r="E166" s="2" t="s">
        <v>953</v>
      </c>
      <c r="F166" s="3">
        <v>9.54196807E9</v>
      </c>
      <c r="G166" s="2" t="s">
        <v>49</v>
      </c>
      <c r="H166" s="2" t="s">
        <v>648</v>
      </c>
      <c r="I166" s="2" t="s">
        <v>954</v>
      </c>
      <c r="J166" s="2" t="s">
        <v>46</v>
      </c>
    </row>
    <row r="167">
      <c r="A167" s="3">
        <v>90824.0</v>
      </c>
      <c r="B167" s="2" t="s">
        <v>955</v>
      </c>
      <c r="C167" s="5">
        <v>46184.87107638889</v>
      </c>
      <c r="D167" s="2" t="s">
        <v>520</v>
      </c>
      <c r="E167" s="2" t="s">
        <v>956</v>
      </c>
      <c r="F167" s="3">
        <v>8.796152729E9</v>
      </c>
      <c r="G167" s="2" t="s">
        <v>49</v>
      </c>
      <c r="H167" s="2" t="s">
        <v>570</v>
      </c>
      <c r="I167" s="2" t="s">
        <v>782</v>
      </c>
      <c r="J167" s="2" t="s">
        <v>46</v>
      </c>
    </row>
    <row r="168">
      <c r="A168" s="3">
        <v>90825.0</v>
      </c>
      <c r="B168" s="2" t="s">
        <v>957</v>
      </c>
      <c r="C168" s="5">
        <v>46185.088958333334</v>
      </c>
      <c r="D168" s="2" t="s">
        <v>520</v>
      </c>
      <c r="E168" s="2" t="s">
        <v>958</v>
      </c>
      <c r="F168" s="8">
        <v>1.4378E10</v>
      </c>
      <c r="G168" s="2" t="s">
        <v>626</v>
      </c>
      <c r="H168" s="2" t="s">
        <v>627</v>
      </c>
      <c r="I168" s="2" t="s">
        <v>959</v>
      </c>
      <c r="J168" s="2" t="s">
        <v>46</v>
      </c>
    </row>
    <row r="169">
      <c r="A169" s="3">
        <v>90826.0</v>
      </c>
      <c r="B169" s="2" t="s">
        <v>960</v>
      </c>
      <c r="C169" s="5">
        <v>46185.10108796296</v>
      </c>
      <c r="D169" s="2" t="s">
        <v>520</v>
      </c>
      <c r="E169" s="2" t="s">
        <v>961</v>
      </c>
      <c r="F169" s="3">
        <v>7.974812918E9</v>
      </c>
      <c r="G169" s="2" t="s">
        <v>49</v>
      </c>
      <c r="H169" s="2" t="s">
        <v>212</v>
      </c>
      <c r="I169" s="2" t="s">
        <v>789</v>
      </c>
      <c r="J169" s="2" t="s">
        <v>46</v>
      </c>
    </row>
    <row r="170">
      <c r="A170" s="3">
        <v>90827.0</v>
      </c>
      <c r="B170" s="2" t="s">
        <v>962</v>
      </c>
      <c r="C170" s="5">
        <v>46185.4075</v>
      </c>
      <c r="D170" s="2" t="s">
        <v>520</v>
      </c>
      <c r="E170" s="2" t="s">
        <v>963</v>
      </c>
      <c r="F170" s="3">
        <v>6.284955139E9</v>
      </c>
      <c r="G170" s="2" t="s">
        <v>49</v>
      </c>
      <c r="H170" s="2" t="s">
        <v>224</v>
      </c>
      <c r="I170" s="2" t="s">
        <v>223</v>
      </c>
      <c r="J170" s="2" t="s">
        <v>46</v>
      </c>
    </row>
    <row r="171">
      <c r="A171" s="3">
        <v>90828.0</v>
      </c>
      <c r="B171" s="2" t="s">
        <v>964</v>
      </c>
      <c r="C171" s="5">
        <v>46185.441712962966</v>
      </c>
      <c r="D171" s="2" t="s">
        <v>520</v>
      </c>
      <c r="E171" s="2" t="s">
        <v>965</v>
      </c>
      <c r="F171" s="3">
        <v>9.836787742E9</v>
      </c>
      <c r="G171" s="2" t="s">
        <v>49</v>
      </c>
      <c r="H171" s="2" t="s">
        <v>65</v>
      </c>
      <c r="I171" s="2" t="s">
        <v>103</v>
      </c>
      <c r="J171" s="2" t="s">
        <v>46</v>
      </c>
    </row>
    <row r="172">
      <c r="A172" s="3">
        <v>90829.0</v>
      </c>
      <c r="B172" s="2" t="s">
        <v>966</v>
      </c>
      <c r="C172" s="5">
        <v>46185.50969907407</v>
      </c>
      <c r="E172" s="2" t="s">
        <v>967</v>
      </c>
      <c r="F172" s="3">
        <v>9.911882389E9</v>
      </c>
      <c r="G172" s="6"/>
      <c r="H172" s="2" t="s">
        <v>48</v>
      </c>
      <c r="I172" s="2" t="s">
        <v>968</v>
      </c>
      <c r="J172" s="2" t="s">
        <v>266</v>
      </c>
    </row>
    <row r="173">
      <c r="A173" s="3">
        <v>90830.0</v>
      </c>
      <c r="B173" s="2" t="s">
        <v>969</v>
      </c>
      <c r="C173" s="5">
        <v>46185.61561342593</v>
      </c>
      <c r="D173" s="2" t="s">
        <v>529</v>
      </c>
      <c r="E173" s="2" t="s">
        <v>970</v>
      </c>
      <c r="F173" s="3">
        <v>8.008993403E9</v>
      </c>
      <c r="G173" s="2" t="s">
        <v>49</v>
      </c>
      <c r="H173" s="2" t="s">
        <v>194</v>
      </c>
      <c r="I173" s="2" t="s">
        <v>193</v>
      </c>
      <c r="J173" s="2" t="s">
        <v>46</v>
      </c>
    </row>
    <row r="174">
      <c r="A174" s="3">
        <v>90831.0</v>
      </c>
      <c r="B174" s="2" t="s">
        <v>971</v>
      </c>
      <c r="C174" s="5">
        <v>46185.64635416667</v>
      </c>
      <c r="E174" s="2" t="s">
        <v>972</v>
      </c>
      <c r="F174" s="3">
        <v>9.823881199E9</v>
      </c>
      <c r="G174" s="6"/>
      <c r="H174" s="2" t="s">
        <v>48</v>
      </c>
      <c r="I174" s="2" t="s">
        <v>973</v>
      </c>
      <c r="J174" s="2" t="s">
        <v>266</v>
      </c>
    </row>
    <row r="175">
      <c r="A175" s="3">
        <v>90832.0</v>
      </c>
      <c r="B175" s="2" t="s">
        <v>974</v>
      </c>
      <c r="C175" s="5">
        <v>46185.65020833333</v>
      </c>
      <c r="D175" s="2" t="s">
        <v>520</v>
      </c>
      <c r="E175" s="2" t="s">
        <v>975</v>
      </c>
      <c r="F175" s="3">
        <v>8.077717121E9</v>
      </c>
      <c r="G175" s="2" t="s">
        <v>49</v>
      </c>
      <c r="H175" s="2" t="s">
        <v>79</v>
      </c>
      <c r="I175" s="2" t="s">
        <v>976</v>
      </c>
      <c r="J175" s="2" t="s">
        <v>46</v>
      </c>
    </row>
    <row r="176">
      <c r="A176" s="3">
        <v>90833.0</v>
      </c>
      <c r="B176" s="2" t="s">
        <v>977</v>
      </c>
      <c r="C176" s="5">
        <v>46185.6525</v>
      </c>
      <c r="E176" s="2" t="s">
        <v>978</v>
      </c>
      <c r="F176" s="3">
        <v>6.958471436E9</v>
      </c>
      <c r="G176" s="6"/>
      <c r="H176" s="2" t="s">
        <v>48</v>
      </c>
      <c r="I176" s="2" t="s">
        <v>979</v>
      </c>
      <c r="J176" s="2" t="s">
        <v>266</v>
      </c>
    </row>
    <row r="177">
      <c r="A177" s="3">
        <v>90834.0</v>
      </c>
      <c r="B177" s="2" t="s">
        <v>980</v>
      </c>
      <c r="C177" s="5">
        <v>46185.65819444445</v>
      </c>
      <c r="E177" s="2" t="s">
        <v>981</v>
      </c>
      <c r="F177" s="3">
        <v>6.341748596E9</v>
      </c>
      <c r="G177" s="6"/>
      <c r="H177" s="2" t="s">
        <v>48</v>
      </c>
      <c r="I177" s="2" t="s">
        <v>982</v>
      </c>
      <c r="J177" s="2" t="s">
        <v>266</v>
      </c>
    </row>
    <row r="178">
      <c r="A178" s="3">
        <v>90835.0</v>
      </c>
      <c r="B178" s="2" t="s">
        <v>983</v>
      </c>
      <c r="C178" s="5">
        <v>46185.67324074074</v>
      </c>
      <c r="E178" s="2" t="s">
        <v>984</v>
      </c>
      <c r="F178" s="3">
        <v>3.696852514E9</v>
      </c>
      <c r="G178" s="6"/>
      <c r="H178" s="2" t="s">
        <v>48</v>
      </c>
      <c r="I178" s="2" t="s">
        <v>985</v>
      </c>
      <c r="J178" s="2" t="s">
        <v>266</v>
      </c>
    </row>
    <row r="179">
      <c r="A179" s="3">
        <v>90836.0</v>
      </c>
      <c r="B179" s="2" t="s">
        <v>986</v>
      </c>
      <c r="C179" s="5">
        <v>46185.67943287037</v>
      </c>
      <c r="E179" s="2" t="s">
        <v>987</v>
      </c>
      <c r="F179" s="3">
        <v>4.152586963E9</v>
      </c>
      <c r="G179" s="6"/>
      <c r="H179" s="2" t="s">
        <v>48</v>
      </c>
      <c r="I179" s="2" t="s">
        <v>988</v>
      </c>
      <c r="J179" s="2" t="s">
        <v>266</v>
      </c>
    </row>
    <row r="180">
      <c r="A180" s="3">
        <v>90837.0</v>
      </c>
      <c r="B180" s="2" t="s">
        <v>989</v>
      </c>
      <c r="C180" s="5">
        <v>46185.802199074074</v>
      </c>
      <c r="D180" s="2" t="s">
        <v>529</v>
      </c>
      <c r="E180" s="2" t="s">
        <v>990</v>
      </c>
      <c r="F180" s="3">
        <v>8.910958553E9</v>
      </c>
      <c r="G180" s="2" t="s">
        <v>49</v>
      </c>
      <c r="H180" s="2" t="s">
        <v>65</v>
      </c>
      <c r="I180" s="2" t="s">
        <v>103</v>
      </c>
      <c r="J180" s="2" t="s">
        <v>46</v>
      </c>
    </row>
    <row r="181">
      <c r="A181" s="3">
        <v>90838.0</v>
      </c>
      <c r="B181" s="2" t="s">
        <v>991</v>
      </c>
      <c r="C181" s="5">
        <v>46185.82077546296</v>
      </c>
      <c r="D181" s="2" t="s">
        <v>520</v>
      </c>
      <c r="E181" s="2" t="s">
        <v>992</v>
      </c>
      <c r="F181" s="3">
        <v>7.715030973E9</v>
      </c>
      <c r="G181" s="2" t="s">
        <v>49</v>
      </c>
      <c r="H181" s="2" t="s">
        <v>570</v>
      </c>
      <c r="I181" s="2" t="s">
        <v>782</v>
      </c>
      <c r="J181" s="2" t="s">
        <v>46</v>
      </c>
    </row>
    <row r="182">
      <c r="A182" s="3">
        <v>90839.0</v>
      </c>
      <c r="B182" s="2" t="s">
        <v>993</v>
      </c>
      <c r="C182" s="5">
        <v>46185.82732638889</v>
      </c>
      <c r="D182" s="2" t="s">
        <v>529</v>
      </c>
      <c r="E182" s="2" t="s">
        <v>994</v>
      </c>
      <c r="F182" s="3">
        <v>9.883277588E9</v>
      </c>
      <c r="G182" s="2" t="s">
        <v>49</v>
      </c>
      <c r="H182" s="2" t="s">
        <v>65</v>
      </c>
      <c r="I182" s="2" t="s">
        <v>738</v>
      </c>
      <c r="J182" s="2" t="s">
        <v>46</v>
      </c>
    </row>
    <row r="183">
      <c r="A183" s="3">
        <v>90840.0</v>
      </c>
      <c r="B183" s="2" t="s">
        <v>995</v>
      </c>
      <c r="C183" s="5">
        <v>46185.89703703704</v>
      </c>
      <c r="D183" s="2" t="s">
        <v>520</v>
      </c>
      <c r="E183" s="2" t="s">
        <v>996</v>
      </c>
      <c r="F183" s="3">
        <v>8.61030664E9</v>
      </c>
      <c r="G183" s="2" t="s">
        <v>49</v>
      </c>
      <c r="H183" s="2" t="s">
        <v>169</v>
      </c>
      <c r="I183" s="2" t="s">
        <v>299</v>
      </c>
      <c r="J183" s="2" t="s">
        <v>46</v>
      </c>
    </row>
    <row r="184">
      <c r="A184" s="3">
        <v>90841.0</v>
      </c>
      <c r="B184" s="2" t="s">
        <v>997</v>
      </c>
      <c r="C184" s="5">
        <v>46186.00997685185</v>
      </c>
      <c r="D184" s="2" t="s">
        <v>520</v>
      </c>
      <c r="E184" s="2" t="s">
        <v>998</v>
      </c>
      <c r="F184" s="2" t="s">
        <v>999</v>
      </c>
      <c r="G184" s="2" t="s">
        <v>49</v>
      </c>
      <c r="H184" s="2" t="s">
        <v>173</v>
      </c>
      <c r="I184" s="2" t="s">
        <v>172</v>
      </c>
      <c r="J184" s="2" t="s">
        <v>46</v>
      </c>
    </row>
    <row r="185">
      <c r="A185" s="3">
        <v>90842.0</v>
      </c>
      <c r="B185" s="2" t="s">
        <v>1000</v>
      </c>
      <c r="C185" s="5">
        <v>46186.06309027778</v>
      </c>
      <c r="D185" s="2" t="s">
        <v>529</v>
      </c>
      <c r="E185" s="2" t="s">
        <v>1001</v>
      </c>
      <c r="F185" s="3">
        <v>9.044166875E9</v>
      </c>
      <c r="G185" s="2" t="s">
        <v>127</v>
      </c>
      <c r="H185" s="2" t="s">
        <v>1002</v>
      </c>
      <c r="I185" s="2" t="s">
        <v>1003</v>
      </c>
      <c r="J185" s="2" t="s">
        <v>46</v>
      </c>
    </row>
    <row r="186">
      <c r="A186" s="3">
        <v>90843.0</v>
      </c>
      <c r="B186" s="2" t="s">
        <v>1004</v>
      </c>
      <c r="C186" s="5">
        <v>46186.340625</v>
      </c>
      <c r="D186" s="2" t="s">
        <v>529</v>
      </c>
      <c r="E186" s="2" t="s">
        <v>1005</v>
      </c>
      <c r="F186" s="3">
        <v>8.076251514E9</v>
      </c>
      <c r="G186" s="2" t="s">
        <v>49</v>
      </c>
      <c r="H186" s="2" t="s">
        <v>570</v>
      </c>
      <c r="I186" s="2" t="s">
        <v>782</v>
      </c>
      <c r="J186" s="2" t="s">
        <v>46</v>
      </c>
    </row>
    <row r="187">
      <c r="A187" s="3">
        <v>90844.0</v>
      </c>
      <c r="B187" s="2" t="s">
        <v>1006</v>
      </c>
      <c r="C187" s="5">
        <v>46186.38315972222</v>
      </c>
      <c r="D187" s="2" t="s">
        <v>529</v>
      </c>
      <c r="E187" s="2" t="s">
        <v>1007</v>
      </c>
      <c r="F187" s="3">
        <v>9.820219444E9</v>
      </c>
      <c r="G187" s="2" t="s">
        <v>49</v>
      </c>
      <c r="H187" s="2" t="s">
        <v>87</v>
      </c>
      <c r="I187" s="2" t="s">
        <v>86</v>
      </c>
      <c r="J187" s="2" t="s">
        <v>46</v>
      </c>
    </row>
    <row r="188">
      <c r="A188" s="3">
        <v>90845.0</v>
      </c>
      <c r="B188" s="2" t="s">
        <v>1008</v>
      </c>
      <c r="C188" s="5">
        <v>46186.42800925926</v>
      </c>
      <c r="D188" s="2" t="s">
        <v>529</v>
      </c>
      <c r="E188" s="2" t="s">
        <v>1009</v>
      </c>
      <c r="F188" s="3">
        <v>8.053082264E9</v>
      </c>
      <c r="G188" s="2" t="s">
        <v>49</v>
      </c>
      <c r="H188" s="2" t="s">
        <v>76</v>
      </c>
      <c r="I188" s="2" t="s">
        <v>1010</v>
      </c>
      <c r="J188" s="2" t="s">
        <v>46</v>
      </c>
    </row>
    <row r="189">
      <c r="A189" s="3">
        <v>90846.0</v>
      </c>
      <c r="B189" s="2" t="s">
        <v>1011</v>
      </c>
      <c r="C189" s="5">
        <v>46186.49256944445</v>
      </c>
      <c r="D189" s="2" t="s">
        <v>529</v>
      </c>
      <c r="E189" s="2" t="s">
        <v>1012</v>
      </c>
      <c r="F189" s="3">
        <v>9.821398038E9</v>
      </c>
      <c r="G189" s="2" t="s">
        <v>49</v>
      </c>
      <c r="H189" s="2" t="s">
        <v>570</v>
      </c>
      <c r="I189" s="2" t="s">
        <v>782</v>
      </c>
      <c r="J189" s="2" t="s">
        <v>46</v>
      </c>
    </row>
    <row r="190">
      <c r="A190" s="3">
        <v>90847.0</v>
      </c>
      <c r="B190" s="2" t="s">
        <v>1013</v>
      </c>
      <c r="C190" s="5">
        <v>46186.57215277778</v>
      </c>
      <c r="D190" s="2" t="s">
        <v>520</v>
      </c>
      <c r="E190" s="2" t="s">
        <v>1014</v>
      </c>
      <c r="F190" s="3">
        <v>8.252585783E9</v>
      </c>
      <c r="G190" s="2" t="s">
        <v>49</v>
      </c>
      <c r="H190" s="2" t="s">
        <v>119</v>
      </c>
      <c r="I190" s="2" t="s">
        <v>118</v>
      </c>
      <c r="J190" s="2" t="s">
        <v>46</v>
      </c>
    </row>
    <row r="191">
      <c r="A191" s="3">
        <v>90848.0</v>
      </c>
      <c r="B191" s="2" t="s">
        <v>1015</v>
      </c>
      <c r="C191" s="5">
        <v>46186.59247685185</v>
      </c>
      <c r="D191" s="2" t="s">
        <v>529</v>
      </c>
      <c r="E191" s="2" t="s">
        <v>1016</v>
      </c>
      <c r="F191" s="8">
        <v>6.1413E10</v>
      </c>
      <c r="G191" s="2" t="s">
        <v>1017</v>
      </c>
      <c r="H191" s="2" t="s">
        <v>1018</v>
      </c>
      <c r="I191" s="2" t="s">
        <v>1019</v>
      </c>
      <c r="J191" s="2" t="s">
        <v>46</v>
      </c>
    </row>
    <row r="192">
      <c r="A192" s="3">
        <v>90849.0</v>
      </c>
      <c r="B192" s="2" t="s">
        <v>1020</v>
      </c>
      <c r="C192" s="5">
        <v>46186.69949074074</v>
      </c>
      <c r="D192" s="2" t="s">
        <v>520</v>
      </c>
      <c r="E192" s="2" t="s">
        <v>1021</v>
      </c>
      <c r="F192" s="3">
        <v>8.551074289E9</v>
      </c>
      <c r="G192" s="2" t="s">
        <v>49</v>
      </c>
      <c r="H192" s="2" t="s">
        <v>48</v>
      </c>
      <c r="I192" s="2" t="s">
        <v>551</v>
      </c>
      <c r="J192" s="2" t="s">
        <v>46</v>
      </c>
    </row>
    <row r="193">
      <c r="A193" s="3">
        <v>90850.0</v>
      </c>
      <c r="B193" s="2" t="s">
        <v>1022</v>
      </c>
      <c r="C193" s="5">
        <v>46186.74334490741</v>
      </c>
      <c r="D193" s="2" t="s">
        <v>520</v>
      </c>
      <c r="E193" s="2" t="s">
        <v>1023</v>
      </c>
      <c r="F193" s="3">
        <v>8.971478323E9</v>
      </c>
      <c r="G193" s="2" t="s">
        <v>49</v>
      </c>
      <c r="H193" s="2" t="s">
        <v>169</v>
      </c>
      <c r="I193" s="2" t="s">
        <v>299</v>
      </c>
      <c r="J193" s="2" t="s">
        <v>46</v>
      </c>
    </row>
    <row r="194">
      <c r="A194" s="3">
        <v>90851.0</v>
      </c>
      <c r="B194" s="2" t="s">
        <v>1024</v>
      </c>
      <c r="C194" s="5">
        <v>46186.793229166666</v>
      </c>
      <c r="D194" s="2" t="s">
        <v>529</v>
      </c>
      <c r="E194" s="2" t="s">
        <v>1025</v>
      </c>
      <c r="F194" s="3">
        <v>9.003230758E9</v>
      </c>
      <c r="G194" s="2" t="s">
        <v>49</v>
      </c>
      <c r="H194" s="2" t="s">
        <v>65</v>
      </c>
      <c r="I194" s="2" t="s">
        <v>103</v>
      </c>
      <c r="J194" s="2" t="s">
        <v>46</v>
      </c>
    </row>
    <row r="195">
      <c r="A195" s="3">
        <v>90852.0</v>
      </c>
      <c r="B195" s="2" t="s">
        <v>1026</v>
      </c>
      <c r="C195" s="5">
        <v>46186.812627314815</v>
      </c>
      <c r="D195" s="2" t="s">
        <v>529</v>
      </c>
      <c r="E195" s="2" t="s">
        <v>1027</v>
      </c>
      <c r="F195" s="3">
        <v>9.680188846E9</v>
      </c>
      <c r="G195" s="2" t="s">
        <v>49</v>
      </c>
      <c r="H195" s="2" t="s">
        <v>48</v>
      </c>
      <c r="I195" s="2" t="s">
        <v>551</v>
      </c>
      <c r="J195" s="2" t="s">
        <v>46</v>
      </c>
    </row>
    <row r="196">
      <c r="A196" s="3">
        <v>90853.0</v>
      </c>
      <c r="B196" s="2" t="s">
        <v>1028</v>
      </c>
      <c r="C196" s="5">
        <v>46187.06450231482</v>
      </c>
      <c r="D196" s="2" t="s">
        <v>520</v>
      </c>
      <c r="E196" s="2" t="s">
        <v>1029</v>
      </c>
      <c r="F196" s="3">
        <v>6.267300816E9</v>
      </c>
      <c r="G196" s="2" t="s">
        <v>49</v>
      </c>
      <c r="H196" s="2" t="s">
        <v>212</v>
      </c>
      <c r="I196" s="2" t="s">
        <v>1030</v>
      </c>
      <c r="J196" s="2" t="s">
        <v>46</v>
      </c>
    </row>
    <row r="197">
      <c r="A197" s="3">
        <v>90854.0</v>
      </c>
      <c r="B197" s="2" t="s">
        <v>1031</v>
      </c>
      <c r="C197" s="5">
        <v>46187.37451388889</v>
      </c>
      <c r="D197" s="2" t="s">
        <v>520</v>
      </c>
      <c r="E197" s="2" t="s">
        <v>1032</v>
      </c>
      <c r="F197" s="3">
        <v>6.371621518E9</v>
      </c>
      <c r="G197" s="2" t="s">
        <v>49</v>
      </c>
      <c r="H197" s="2" t="s">
        <v>307</v>
      </c>
      <c r="I197" s="2" t="s">
        <v>1033</v>
      </c>
      <c r="J197" s="2" t="s">
        <v>46</v>
      </c>
    </row>
    <row r="198">
      <c r="A198" s="3">
        <v>90855.0</v>
      </c>
      <c r="B198" s="2" t="s">
        <v>1034</v>
      </c>
      <c r="C198" s="5">
        <v>46187.401238425926</v>
      </c>
      <c r="D198" s="2" t="s">
        <v>520</v>
      </c>
      <c r="E198" s="2" t="s">
        <v>1035</v>
      </c>
      <c r="F198" s="3">
        <v>9.849450193E9</v>
      </c>
      <c r="G198" s="2" t="s">
        <v>49</v>
      </c>
      <c r="H198" s="2" t="s">
        <v>287</v>
      </c>
      <c r="I198" s="2" t="s">
        <v>576</v>
      </c>
      <c r="J198" s="2" t="s">
        <v>46</v>
      </c>
    </row>
    <row r="199">
      <c r="A199" s="3">
        <v>90856.0</v>
      </c>
      <c r="B199" s="2" t="s">
        <v>1036</v>
      </c>
      <c r="C199" s="5">
        <v>46187.41030092593</v>
      </c>
      <c r="D199" s="2" t="s">
        <v>520</v>
      </c>
      <c r="E199" s="2" t="s">
        <v>1037</v>
      </c>
      <c r="F199" s="3">
        <v>8.296382985E9</v>
      </c>
      <c r="G199" s="2" t="s">
        <v>49</v>
      </c>
      <c r="H199" s="2" t="s">
        <v>87</v>
      </c>
      <c r="I199" s="2" t="s">
        <v>86</v>
      </c>
      <c r="J199" s="6"/>
      <c r="K199" s="6"/>
    </row>
    <row r="200">
      <c r="A200" s="3">
        <v>90857.0</v>
      </c>
      <c r="B200" s="2" t="s">
        <v>1038</v>
      </c>
      <c r="C200" s="5">
        <v>46187.44024305556</v>
      </c>
      <c r="D200" s="2" t="s">
        <v>529</v>
      </c>
      <c r="E200" s="2" t="s">
        <v>1039</v>
      </c>
      <c r="F200" s="3">
        <v>7.208325521E9</v>
      </c>
      <c r="G200" s="2" t="s">
        <v>49</v>
      </c>
      <c r="H200" s="2" t="s">
        <v>181</v>
      </c>
      <c r="I200" s="2" t="s">
        <v>1040</v>
      </c>
      <c r="J200" s="2" t="s">
        <v>46</v>
      </c>
    </row>
    <row r="201">
      <c r="A201" s="3">
        <v>90858.0</v>
      </c>
      <c r="B201" s="2" t="s">
        <v>1041</v>
      </c>
      <c r="C201" s="5">
        <v>46187.455046296294</v>
      </c>
      <c r="D201" s="2" t="s">
        <v>520</v>
      </c>
      <c r="E201" s="2" t="s">
        <v>1042</v>
      </c>
      <c r="F201" s="3">
        <v>9.638823608E9</v>
      </c>
      <c r="G201" s="2" t="s">
        <v>49</v>
      </c>
      <c r="H201" s="2" t="s">
        <v>672</v>
      </c>
      <c r="I201" s="2" t="s">
        <v>735</v>
      </c>
      <c r="J201" s="2" t="s">
        <v>46</v>
      </c>
    </row>
    <row r="202">
      <c r="A202" s="3">
        <v>90859.0</v>
      </c>
      <c r="B202" s="2" t="s">
        <v>1043</v>
      </c>
      <c r="C202" s="5">
        <v>46187.46482638889</v>
      </c>
      <c r="D202" s="2" t="s">
        <v>520</v>
      </c>
      <c r="E202" s="2" t="s">
        <v>1044</v>
      </c>
      <c r="F202" s="3">
        <v>9.265799862E9</v>
      </c>
      <c r="G202" s="2" t="s">
        <v>49</v>
      </c>
      <c r="H202" s="2" t="s">
        <v>672</v>
      </c>
      <c r="I202" s="2" t="s">
        <v>735</v>
      </c>
      <c r="J202" s="2" t="s">
        <v>46</v>
      </c>
    </row>
    <row r="203">
      <c r="A203" s="3">
        <v>90860.0</v>
      </c>
      <c r="B203" s="2" t="s">
        <v>1045</v>
      </c>
      <c r="C203" s="5">
        <v>46187.52429398148</v>
      </c>
      <c r="D203" s="2" t="s">
        <v>529</v>
      </c>
      <c r="E203" s="2" t="s">
        <v>1046</v>
      </c>
      <c r="F203" s="3">
        <v>9.611577589E9</v>
      </c>
      <c r="G203" s="2" t="s">
        <v>49</v>
      </c>
      <c r="H203" s="2" t="s">
        <v>87</v>
      </c>
      <c r="I203" s="2" t="s">
        <v>86</v>
      </c>
      <c r="J203" s="2" t="s">
        <v>46</v>
      </c>
    </row>
    <row r="204">
      <c r="A204" s="3">
        <v>90861.0</v>
      </c>
      <c r="B204" s="2" t="s">
        <v>1047</v>
      </c>
      <c r="C204" s="5">
        <v>46187.62694444445</v>
      </c>
      <c r="D204" s="2" t="s">
        <v>520</v>
      </c>
      <c r="E204" s="2" t="s">
        <v>1048</v>
      </c>
      <c r="F204" s="3">
        <v>9.121839791E9</v>
      </c>
      <c r="G204" s="2" t="s">
        <v>49</v>
      </c>
      <c r="H204" s="2" t="s">
        <v>194</v>
      </c>
      <c r="I204" s="2" t="s">
        <v>193</v>
      </c>
      <c r="J204" s="2" t="s">
        <v>46</v>
      </c>
    </row>
    <row r="205">
      <c r="A205" s="3">
        <v>90862.0</v>
      </c>
      <c r="B205" s="2" t="s">
        <v>1049</v>
      </c>
      <c r="C205" s="5">
        <v>46187.64996527778</v>
      </c>
      <c r="D205" s="2" t="s">
        <v>520</v>
      </c>
      <c r="E205" s="2" t="s">
        <v>1050</v>
      </c>
      <c r="F205" s="3">
        <v>9.341062847E9</v>
      </c>
      <c r="G205" s="2" t="s">
        <v>49</v>
      </c>
      <c r="H205" s="2" t="s">
        <v>173</v>
      </c>
      <c r="I205" s="2" t="s">
        <v>172</v>
      </c>
      <c r="J205" s="2" t="s">
        <v>46</v>
      </c>
    </row>
    <row r="206">
      <c r="A206" s="3">
        <v>90863.0</v>
      </c>
      <c r="B206" s="2" t="s">
        <v>1051</v>
      </c>
      <c r="C206" s="5">
        <v>46187.698912037034</v>
      </c>
      <c r="D206" s="2" t="s">
        <v>520</v>
      </c>
      <c r="E206" s="2" t="s">
        <v>1052</v>
      </c>
      <c r="F206" s="3">
        <v>9.930012078E9</v>
      </c>
      <c r="G206" s="2" t="s">
        <v>49</v>
      </c>
      <c r="H206" s="2" t="s">
        <v>87</v>
      </c>
      <c r="I206" s="2" t="s">
        <v>86</v>
      </c>
      <c r="J206" s="2" t="s">
        <v>46</v>
      </c>
    </row>
    <row r="207">
      <c r="A207" s="3">
        <v>90864.0</v>
      </c>
      <c r="B207" s="2" t="s">
        <v>1053</v>
      </c>
      <c r="C207" s="5">
        <v>46187.73291666667</v>
      </c>
      <c r="D207" s="2" t="s">
        <v>520</v>
      </c>
      <c r="E207" s="2" t="s">
        <v>1054</v>
      </c>
      <c r="F207" s="3">
        <v>7.718012468E9</v>
      </c>
      <c r="G207" s="2" t="s">
        <v>49</v>
      </c>
      <c r="H207" s="2" t="s">
        <v>48</v>
      </c>
      <c r="I207" s="2" t="s">
        <v>573</v>
      </c>
      <c r="J207" s="2" t="s">
        <v>46</v>
      </c>
    </row>
    <row r="208">
      <c r="A208" s="3">
        <v>90865.0</v>
      </c>
      <c r="B208" s="2" t="s">
        <v>1055</v>
      </c>
      <c r="C208" s="5">
        <v>46187.75653935185</v>
      </c>
      <c r="D208" s="2" t="s">
        <v>529</v>
      </c>
      <c r="E208" s="2" t="s">
        <v>1056</v>
      </c>
      <c r="F208" s="3">
        <v>7.989051382E9</v>
      </c>
      <c r="G208" s="2" t="s">
        <v>49</v>
      </c>
      <c r="H208" s="2" t="s">
        <v>287</v>
      </c>
      <c r="I208" s="2" t="s">
        <v>576</v>
      </c>
      <c r="J208" s="2" t="s">
        <v>46</v>
      </c>
    </row>
    <row r="209">
      <c r="A209" s="3">
        <v>90866.0</v>
      </c>
      <c r="B209" s="2" t="s">
        <v>1057</v>
      </c>
      <c r="C209" s="5">
        <v>46187.78701388889</v>
      </c>
      <c r="D209" s="2" t="s">
        <v>529</v>
      </c>
      <c r="E209" s="2" t="s">
        <v>1058</v>
      </c>
      <c r="F209" s="3">
        <v>9.136261916E9</v>
      </c>
      <c r="G209" s="2" t="s">
        <v>49</v>
      </c>
      <c r="H209" s="2" t="s">
        <v>672</v>
      </c>
      <c r="I209" s="2" t="s">
        <v>1059</v>
      </c>
      <c r="J209" s="2" t="s">
        <v>46</v>
      </c>
    </row>
    <row r="210">
      <c r="A210" s="3">
        <v>90867.0</v>
      </c>
      <c r="B210" s="2" t="s">
        <v>1060</v>
      </c>
      <c r="C210" s="5">
        <v>46187.87094907407</v>
      </c>
      <c r="D210" s="2" t="s">
        <v>520</v>
      </c>
      <c r="E210" s="2" t="s">
        <v>1061</v>
      </c>
      <c r="F210" s="3">
        <v>9.89969629E9</v>
      </c>
      <c r="G210" s="2" t="s">
        <v>49</v>
      </c>
      <c r="H210" s="2" t="s">
        <v>48</v>
      </c>
      <c r="I210" s="2" t="s">
        <v>47</v>
      </c>
      <c r="J210" s="2" t="s">
        <v>46</v>
      </c>
    </row>
    <row r="211">
      <c r="A211" s="3">
        <v>90868.0</v>
      </c>
      <c r="B211" s="2" t="s">
        <v>1062</v>
      </c>
      <c r="C211" s="5">
        <v>46187.96074074074</v>
      </c>
      <c r="D211" s="2" t="s">
        <v>529</v>
      </c>
      <c r="E211" s="2" t="s">
        <v>1063</v>
      </c>
      <c r="F211" s="3">
        <v>6.383415624E9</v>
      </c>
      <c r="G211" s="2" t="s">
        <v>49</v>
      </c>
      <c r="H211" s="2" t="s">
        <v>169</v>
      </c>
      <c r="I211" s="2" t="s">
        <v>299</v>
      </c>
      <c r="J211" s="2" t="s">
        <v>46</v>
      </c>
    </row>
    <row r="212">
      <c r="A212" s="3">
        <v>90869.0</v>
      </c>
      <c r="B212" s="2" t="s">
        <v>1064</v>
      </c>
      <c r="C212" s="5">
        <v>46188.027719907404</v>
      </c>
      <c r="D212" s="2" t="s">
        <v>529</v>
      </c>
      <c r="E212" s="2" t="s">
        <v>1065</v>
      </c>
      <c r="F212" s="3">
        <v>7.728881812E9</v>
      </c>
      <c r="G212" s="2" t="s">
        <v>49</v>
      </c>
      <c r="H212" s="2" t="s">
        <v>173</v>
      </c>
      <c r="I212" s="2" t="s">
        <v>1066</v>
      </c>
      <c r="J212" s="2" t="s">
        <v>46</v>
      </c>
    </row>
    <row r="213">
      <c r="A213" s="3">
        <v>90870.0</v>
      </c>
      <c r="B213" s="2" t="s">
        <v>1067</v>
      </c>
      <c r="C213" s="5">
        <v>46188.13949074074</v>
      </c>
      <c r="D213" s="2" t="s">
        <v>520</v>
      </c>
      <c r="E213" s="2" t="s">
        <v>1068</v>
      </c>
      <c r="F213" s="3">
        <v>7.000607418E9</v>
      </c>
      <c r="G213" s="2" t="s">
        <v>49</v>
      </c>
      <c r="H213" s="2" t="s">
        <v>680</v>
      </c>
      <c r="I213" s="2" t="s">
        <v>1069</v>
      </c>
      <c r="J213" s="2" t="s">
        <v>46</v>
      </c>
    </row>
    <row r="214">
      <c r="A214" s="3">
        <v>90871.0</v>
      </c>
      <c r="B214" s="2" t="s">
        <v>1070</v>
      </c>
      <c r="C214" s="5">
        <v>46188.369733796295</v>
      </c>
      <c r="D214" s="2" t="s">
        <v>520</v>
      </c>
      <c r="E214" s="2" t="s">
        <v>1071</v>
      </c>
      <c r="F214" s="3">
        <v>7.33756606E9</v>
      </c>
      <c r="G214" s="2" t="s">
        <v>49</v>
      </c>
      <c r="H214" s="2" t="s">
        <v>194</v>
      </c>
      <c r="I214" s="2" t="s">
        <v>193</v>
      </c>
      <c r="J214" s="2" t="s">
        <v>46</v>
      </c>
    </row>
    <row r="215">
      <c r="A215" s="3">
        <v>90872.0</v>
      </c>
      <c r="B215" s="2" t="s">
        <v>1072</v>
      </c>
      <c r="C215" s="5">
        <v>46188.397523148145</v>
      </c>
      <c r="D215" s="2" t="s">
        <v>529</v>
      </c>
      <c r="E215" s="2" t="s">
        <v>1073</v>
      </c>
      <c r="F215" s="3">
        <v>9.580057858E9</v>
      </c>
      <c r="G215" s="2" t="s">
        <v>49</v>
      </c>
      <c r="H215" s="2" t="s">
        <v>79</v>
      </c>
      <c r="I215" s="2" t="s">
        <v>1074</v>
      </c>
      <c r="J215" s="2" t="s">
        <v>46</v>
      </c>
    </row>
    <row r="216">
      <c r="A216" s="3">
        <v>90873.0</v>
      </c>
      <c r="B216" s="2" t="s">
        <v>1075</v>
      </c>
      <c r="C216" s="5">
        <v>46188.439409722225</v>
      </c>
      <c r="D216" s="2" t="s">
        <v>529</v>
      </c>
      <c r="E216" s="2" t="s">
        <v>1076</v>
      </c>
      <c r="F216" s="3">
        <v>7.607895636E9</v>
      </c>
      <c r="G216" s="2" t="s">
        <v>49</v>
      </c>
      <c r="H216" s="2" t="s">
        <v>173</v>
      </c>
      <c r="I216" s="2" t="s">
        <v>1077</v>
      </c>
      <c r="J216" s="2" t="s">
        <v>46</v>
      </c>
    </row>
    <row r="217">
      <c r="A217" s="3">
        <v>90874.0</v>
      </c>
      <c r="B217" s="2" t="s">
        <v>1078</v>
      </c>
      <c r="C217" s="5">
        <v>46188.451527777775</v>
      </c>
      <c r="D217" s="2" t="s">
        <v>529</v>
      </c>
      <c r="E217" s="2" t="s">
        <v>1079</v>
      </c>
      <c r="F217" s="3">
        <v>7.82846879E9</v>
      </c>
      <c r="G217" s="2" t="s">
        <v>49</v>
      </c>
      <c r="H217" s="2" t="s">
        <v>212</v>
      </c>
      <c r="I217" s="2" t="s">
        <v>1030</v>
      </c>
      <c r="J217" s="2" t="s">
        <v>46</v>
      </c>
    </row>
    <row r="218">
      <c r="A218" s="3">
        <v>90875.0</v>
      </c>
      <c r="B218" s="2" t="s">
        <v>1080</v>
      </c>
      <c r="C218" s="5">
        <v>46188.494479166664</v>
      </c>
      <c r="D218" s="2" t="s">
        <v>520</v>
      </c>
      <c r="E218" s="2" t="s">
        <v>1081</v>
      </c>
      <c r="F218" s="3">
        <v>8.92034926E9</v>
      </c>
      <c r="G218" s="2" t="s">
        <v>49</v>
      </c>
      <c r="H218" s="2" t="s">
        <v>570</v>
      </c>
      <c r="I218" s="2" t="s">
        <v>782</v>
      </c>
      <c r="J218" s="2" t="s">
        <v>46</v>
      </c>
    </row>
    <row r="219">
      <c r="A219" s="3">
        <v>90876.0</v>
      </c>
      <c r="B219" s="2" t="s">
        <v>1082</v>
      </c>
      <c r="C219" s="5">
        <v>46188.5597337963</v>
      </c>
      <c r="D219" s="2" t="s">
        <v>529</v>
      </c>
      <c r="E219" s="2" t="s">
        <v>1083</v>
      </c>
      <c r="F219" s="3">
        <v>8.951043604E9</v>
      </c>
      <c r="G219" s="2" t="s">
        <v>49</v>
      </c>
      <c r="H219" s="2" t="s">
        <v>48</v>
      </c>
      <c r="I219" s="2" t="s">
        <v>551</v>
      </c>
      <c r="J219" s="6"/>
      <c r="K219" s="6"/>
    </row>
    <row r="220">
      <c r="A220" s="3">
        <v>90877.0</v>
      </c>
      <c r="B220" s="2" t="s">
        <v>1084</v>
      </c>
      <c r="C220" s="5">
        <v>46188.67061342593</v>
      </c>
      <c r="D220" s="2" t="s">
        <v>529</v>
      </c>
      <c r="E220" s="2" t="s">
        <v>1085</v>
      </c>
      <c r="F220" s="3">
        <v>7.022670884E9</v>
      </c>
      <c r="G220" s="2" t="s">
        <v>49</v>
      </c>
      <c r="H220" s="2" t="s">
        <v>87</v>
      </c>
      <c r="I220" s="2" t="s">
        <v>86</v>
      </c>
      <c r="J220" s="2" t="s">
        <v>46</v>
      </c>
    </row>
    <row r="221">
      <c r="A221" s="3">
        <v>90878.0</v>
      </c>
      <c r="B221" s="2" t="s">
        <v>1086</v>
      </c>
      <c r="C221" s="5">
        <v>46188.67836805555</v>
      </c>
      <c r="D221" s="2" t="s">
        <v>520</v>
      </c>
      <c r="E221" s="2" t="s">
        <v>1087</v>
      </c>
      <c r="F221" s="3">
        <v>8.056003198E9</v>
      </c>
      <c r="G221" s="2" t="s">
        <v>49</v>
      </c>
      <c r="H221" s="2" t="s">
        <v>169</v>
      </c>
      <c r="I221" s="2" t="s">
        <v>299</v>
      </c>
      <c r="J221" s="2" t="s">
        <v>46</v>
      </c>
    </row>
    <row r="222">
      <c r="A222" s="3">
        <v>90879.0</v>
      </c>
      <c r="B222" s="2" t="s">
        <v>1088</v>
      </c>
      <c r="C222" s="5">
        <v>46188.77532407407</v>
      </c>
      <c r="D222" s="2" t="s">
        <v>520</v>
      </c>
      <c r="E222" s="2" t="s">
        <v>1089</v>
      </c>
      <c r="F222" s="3">
        <v>9.899249452E9</v>
      </c>
      <c r="G222" s="2" t="s">
        <v>49</v>
      </c>
      <c r="H222" s="2" t="s">
        <v>224</v>
      </c>
      <c r="I222" s="2" t="s">
        <v>1090</v>
      </c>
      <c r="J222" s="2" t="s">
        <v>46</v>
      </c>
    </row>
    <row r="223">
      <c r="A223" s="3">
        <v>90880.0</v>
      </c>
      <c r="B223" s="2" t="s">
        <v>1091</v>
      </c>
      <c r="C223" s="5">
        <v>46188.81134259259</v>
      </c>
      <c r="D223" s="2" t="s">
        <v>520</v>
      </c>
      <c r="E223" s="2" t="s">
        <v>1092</v>
      </c>
      <c r="F223" s="3">
        <v>8.658022312E9</v>
      </c>
      <c r="G223" s="2" t="s">
        <v>49</v>
      </c>
      <c r="H223" s="2" t="s">
        <v>607</v>
      </c>
      <c r="I223" s="2" t="s">
        <v>1093</v>
      </c>
      <c r="J223" s="2" t="s">
        <v>46</v>
      </c>
    </row>
    <row r="224">
      <c r="A224" s="3">
        <v>90881.0</v>
      </c>
      <c r="B224" s="2" t="s">
        <v>1094</v>
      </c>
      <c r="C224" s="5">
        <v>46188.81212962963</v>
      </c>
      <c r="D224" s="2" t="s">
        <v>520</v>
      </c>
      <c r="E224" s="2" t="s">
        <v>1095</v>
      </c>
      <c r="F224" s="6" t="str">
        <f>+91 81782 31728</f>
        <v>#ERROR!</v>
      </c>
      <c r="G224" s="2" t="s">
        <v>49</v>
      </c>
      <c r="H224" s="2" t="s">
        <v>570</v>
      </c>
      <c r="I224" s="2" t="s">
        <v>782</v>
      </c>
      <c r="J224" s="2" t="s">
        <v>46</v>
      </c>
    </row>
    <row r="225">
      <c r="A225" s="3">
        <v>90882.0</v>
      </c>
      <c r="B225" s="2" t="s">
        <v>1096</v>
      </c>
      <c r="C225" s="5">
        <v>46188.844513888886</v>
      </c>
      <c r="D225" s="2" t="s">
        <v>520</v>
      </c>
      <c r="E225" s="2" t="s">
        <v>1097</v>
      </c>
      <c r="F225" s="3">
        <v>7.906838622E9</v>
      </c>
      <c r="G225" s="2" t="s">
        <v>49</v>
      </c>
      <c r="H225" s="2" t="s">
        <v>570</v>
      </c>
      <c r="I225" s="2" t="s">
        <v>782</v>
      </c>
      <c r="J225" s="2" t="s">
        <v>46</v>
      </c>
    </row>
    <row r="226">
      <c r="A226" s="3">
        <v>90883.0</v>
      </c>
      <c r="B226" s="2" t="s">
        <v>1098</v>
      </c>
      <c r="C226" s="5">
        <v>46189.02342592592</v>
      </c>
      <c r="D226" s="2" t="s">
        <v>529</v>
      </c>
      <c r="E226" s="2" t="s">
        <v>1099</v>
      </c>
      <c r="F226" s="6" t="str">
        <f>+1 313-919-8861</f>
        <v>#ERROR!</v>
      </c>
      <c r="G226" s="2" t="s">
        <v>127</v>
      </c>
      <c r="H226" s="2" t="s">
        <v>1100</v>
      </c>
      <c r="I226" s="2" t="s">
        <v>1101</v>
      </c>
      <c r="J226" s="2" t="s">
        <v>46</v>
      </c>
    </row>
    <row r="227">
      <c r="A227" s="3">
        <v>90884.0</v>
      </c>
      <c r="B227" s="2" t="s">
        <v>1102</v>
      </c>
      <c r="C227" s="5">
        <v>46189.12023148148</v>
      </c>
      <c r="D227" s="2" t="s">
        <v>520</v>
      </c>
      <c r="E227" s="2" t="s">
        <v>1103</v>
      </c>
      <c r="F227" s="3">
        <v>8.977944484E9</v>
      </c>
      <c r="G227" s="2" t="s">
        <v>49</v>
      </c>
      <c r="H227" s="2" t="s">
        <v>87</v>
      </c>
      <c r="I227" s="2" t="s">
        <v>86</v>
      </c>
      <c r="J227" s="2" t="s">
        <v>46</v>
      </c>
    </row>
    <row r="228">
      <c r="A228" s="3">
        <v>90885.0</v>
      </c>
      <c r="B228" s="2" t="s">
        <v>1104</v>
      </c>
      <c r="C228" s="5">
        <v>46189.430601851855</v>
      </c>
      <c r="D228" s="2" t="s">
        <v>529</v>
      </c>
      <c r="E228" s="2" t="s">
        <v>1105</v>
      </c>
      <c r="F228" s="3">
        <v>9.057724077E9</v>
      </c>
      <c r="G228" s="2" t="s">
        <v>49</v>
      </c>
      <c r="H228" s="2" t="s">
        <v>76</v>
      </c>
      <c r="I228" s="2" t="s">
        <v>376</v>
      </c>
      <c r="J228" s="2" t="s">
        <v>46</v>
      </c>
    </row>
    <row r="229">
      <c r="A229" s="3">
        <v>90886.0</v>
      </c>
      <c r="B229" s="2" t="s">
        <v>1106</v>
      </c>
      <c r="C229" s="5">
        <v>46189.48384259259</v>
      </c>
      <c r="D229" s="2" t="s">
        <v>1107</v>
      </c>
      <c r="E229" s="6"/>
      <c r="F229" s="6"/>
      <c r="G229" s="2" t="s">
        <v>49</v>
      </c>
      <c r="H229" s="2" t="s">
        <v>87</v>
      </c>
      <c r="I229" s="2" t="s">
        <v>86</v>
      </c>
      <c r="J229" s="2" t="s">
        <v>46</v>
      </c>
    </row>
    <row r="230">
      <c r="A230" s="3">
        <v>90887.0</v>
      </c>
      <c r="B230" s="2" t="s">
        <v>1108</v>
      </c>
      <c r="C230" s="5">
        <v>46189.539814814816</v>
      </c>
      <c r="D230" s="2" t="s">
        <v>520</v>
      </c>
      <c r="E230" s="2" t="s">
        <v>1109</v>
      </c>
      <c r="F230" s="3">
        <v>8.306016927E9</v>
      </c>
      <c r="G230" s="2" t="s">
        <v>49</v>
      </c>
      <c r="H230" s="2" t="s">
        <v>173</v>
      </c>
      <c r="I230" s="2" t="s">
        <v>1110</v>
      </c>
      <c r="J230" s="2" t="s">
        <v>828</v>
      </c>
      <c r="K230" s="6"/>
    </row>
    <row r="231">
      <c r="A231" s="3">
        <v>90888.0</v>
      </c>
      <c r="B231" s="2" t="s">
        <v>1111</v>
      </c>
      <c r="C231" s="5">
        <v>46189.60534722222</v>
      </c>
      <c r="D231" s="2" t="s">
        <v>520</v>
      </c>
      <c r="E231" s="2" t="s">
        <v>1112</v>
      </c>
      <c r="F231" s="3">
        <v>8.105134555E9</v>
      </c>
      <c r="G231" s="2" t="s">
        <v>49</v>
      </c>
      <c r="H231" s="2" t="s">
        <v>87</v>
      </c>
      <c r="I231" s="2" t="s">
        <v>86</v>
      </c>
      <c r="J231" s="2" t="s">
        <v>46</v>
      </c>
    </row>
    <row r="232">
      <c r="A232" s="3">
        <v>90889.0</v>
      </c>
      <c r="B232" s="2" t="s">
        <v>1113</v>
      </c>
      <c r="C232" s="5">
        <v>46189.64954861111</v>
      </c>
      <c r="D232" s="2" t="s">
        <v>529</v>
      </c>
      <c r="E232" s="2" t="s">
        <v>1114</v>
      </c>
      <c r="F232" s="3">
        <v>9.872533191E9</v>
      </c>
      <c r="G232" s="2" t="s">
        <v>49</v>
      </c>
      <c r="H232" s="2" t="s">
        <v>570</v>
      </c>
      <c r="I232" s="2" t="s">
        <v>782</v>
      </c>
      <c r="J232" s="2" t="s">
        <v>46</v>
      </c>
    </row>
    <row r="233">
      <c r="A233" s="3">
        <v>90890.0</v>
      </c>
      <c r="B233" s="2" t="s">
        <v>1115</v>
      </c>
      <c r="C233" s="5">
        <v>46189.711689814816</v>
      </c>
      <c r="D233" s="2" t="s">
        <v>520</v>
      </c>
      <c r="E233" s="2" t="s">
        <v>1116</v>
      </c>
      <c r="F233" s="3">
        <v>7.487809849E9</v>
      </c>
      <c r="G233" s="2" t="s">
        <v>49</v>
      </c>
      <c r="H233" s="2" t="s">
        <v>87</v>
      </c>
      <c r="I233" s="2" t="s">
        <v>86</v>
      </c>
      <c r="J233" s="2" t="s">
        <v>46</v>
      </c>
    </row>
    <row r="234">
      <c r="A234" s="3">
        <v>90891.0</v>
      </c>
      <c r="B234" s="2" t="s">
        <v>1117</v>
      </c>
      <c r="C234" s="5">
        <v>46189.788831018515</v>
      </c>
      <c r="D234" s="2" t="s">
        <v>529</v>
      </c>
      <c r="E234" s="2" t="s">
        <v>1118</v>
      </c>
      <c r="F234" s="3">
        <v>8.088251041E9</v>
      </c>
      <c r="G234" s="2" t="s">
        <v>49</v>
      </c>
      <c r="H234" s="2" t="s">
        <v>87</v>
      </c>
      <c r="I234" s="2" t="s">
        <v>86</v>
      </c>
      <c r="J234" s="2" t="s">
        <v>46</v>
      </c>
    </row>
    <row r="235">
      <c r="A235" s="3">
        <v>90892.0</v>
      </c>
      <c r="B235" s="2" t="s">
        <v>1119</v>
      </c>
      <c r="C235" s="5">
        <v>46189.91060185185</v>
      </c>
      <c r="D235" s="2" t="s">
        <v>520</v>
      </c>
      <c r="E235" s="2" t="s">
        <v>1120</v>
      </c>
      <c r="F235" s="3">
        <v>7.967000747E9</v>
      </c>
      <c r="G235" s="2" t="s">
        <v>614</v>
      </c>
      <c r="H235" s="2" t="s">
        <v>1121</v>
      </c>
      <c r="I235" s="2" t="s">
        <v>1122</v>
      </c>
      <c r="J235" s="2" t="s">
        <v>46</v>
      </c>
    </row>
    <row r="236">
      <c r="A236" s="3">
        <v>90893.0</v>
      </c>
      <c r="B236" s="2" t="s">
        <v>1123</v>
      </c>
      <c r="C236" s="5">
        <v>46189.98494212963</v>
      </c>
      <c r="D236" s="2" t="s">
        <v>529</v>
      </c>
      <c r="E236" s="2" t="s">
        <v>1124</v>
      </c>
      <c r="F236" s="3">
        <v>7.792543244E9</v>
      </c>
      <c r="G236" s="2" t="s">
        <v>614</v>
      </c>
      <c r="H236" s="2" t="s">
        <v>1125</v>
      </c>
      <c r="I236" s="2" t="s">
        <v>1126</v>
      </c>
      <c r="J236" s="2" t="s">
        <v>46</v>
      </c>
    </row>
    <row r="237">
      <c r="A237" s="3">
        <v>90894.0</v>
      </c>
      <c r="B237" s="2" t="s">
        <v>1127</v>
      </c>
      <c r="C237" s="5">
        <v>46190.07743055555</v>
      </c>
      <c r="D237" s="2" t="s">
        <v>529</v>
      </c>
      <c r="E237" s="2" t="s">
        <v>1128</v>
      </c>
      <c r="F237" s="3">
        <v>7.347737334E9</v>
      </c>
      <c r="G237" s="2" t="s">
        <v>49</v>
      </c>
      <c r="H237" s="2" t="s">
        <v>79</v>
      </c>
      <c r="I237" s="2" t="s">
        <v>1129</v>
      </c>
      <c r="J237" s="2" t="s">
        <v>46</v>
      </c>
    </row>
    <row r="238">
      <c r="A238" s="3">
        <v>90895.0</v>
      </c>
      <c r="B238" s="2" t="s">
        <v>1130</v>
      </c>
      <c r="C238" s="5">
        <v>46190.340162037035</v>
      </c>
      <c r="D238" s="2" t="s">
        <v>520</v>
      </c>
      <c r="E238" s="2" t="s">
        <v>1131</v>
      </c>
      <c r="F238" s="3">
        <v>9.179757944E9</v>
      </c>
      <c r="G238" s="2" t="s">
        <v>127</v>
      </c>
      <c r="H238" s="2" t="s">
        <v>1132</v>
      </c>
      <c r="I238" s="2" t="s">
        <v>1132</v>
      </c>
      <c r="J238" s="2" t="s">
        <v>46</v>
      </c>
    </row>
    <row r="239">
      <c r="A239" s="3">
        <v>90896.0</v>
      </c>
      <c r="B239" s="2" t="s">
        <v>1133</v>
      </c>
      <c r="C239" s="5">
        <v>46190.418125</v>
      </c>
      <c r="D239" s="2" t="s">
        <v>520</v>
      </c>
      <c r="E239" s="2" t="s">
        <v>1134</v>
      </c>
      <c r="F239" s="3">
        <v>7.877031181E9</v>
      </c>
      <c r="G239" s="2" t="s">
        <v>49</v>
      </c>
      <c r="H239" s="2" t="s">
        <v>173</v>
      </c>
      <c r="I239" s="2" t="s">
        <v>172</v>
      </c>
      <c r="J239" s="2" t="s">
        <v>46</v>
      </c>
    </row>
    <row r="240">
      <c r="A240" s="3">
        <v>90897.0</v>
      </c>
      <c r="B240" s="2" t="s">
        <v>1135</v>
      </c>
      <c r="C240" s="5">
        <v>46190.428611111114</v>
      </c>
      <c r="D240" s="2" t="s">
        <v>520</v>
      </c>
      <c r="E240" s="2" t="s">
        <v>1136</v>
      </c>
      <c r="F240" s="3">
        <v>7.899923048E9</v>
      </c>
      <c r="G240" s="2" t="s">
        <v>49</v>
      </c>
      <c r="H240" s="2" t="s">
        <v>87</v>
      </c>
      <c r="I240" s="2" t="s">
        <v>86</v>
      </c>
      <c r="J240" s="2" t="s">
        <v>46</v>
      </c>
    </row>
    <row r="241">
      <c r="A241" s="3">
        <v>90898.0</v>
      </c>
      <c r="B241" s="2" t="s">
        <v>1137</v>
      </c>
      <c r="C241" s="5">
        <v>46190.465625</v>
      </c>
      <c r="D241" s="2" t="s">
        <v>529</v>
      </c>
      <c r="E241" s="2" t="s">
        <v>1138</v>
      </c>
      <c r="F241" s="6" t="str">
        <f>+91 70771-40629</f>
        <v>#ERROR!</v>
      </c>
      <c r="G241" s="2" t="s">
        <v>49</v>
      </c>
      <c r="H241" s="2" t="s">
        <v>307</v>
      </c>
      <c r="I241" s="2" t="s">
        <v>1139</v>
      </c>
      <c r="J241" s="2" t="s">
        <v>46</v>
      </c>
    </row>
    <row r="242">
      <c r="A242" s="3">
        <v>90899.0</v>
      </c>
      <c r="B242" s="2" t="s">
        <v>467</v>
      </c>
      <c r="C242" s="5">
        <v>46190.493483796294</v>
      </c>
      <c r="D242" s="2" t="s">
        <v>520</v>
      </c>
      <c r="E242" s="2" t="s">
        <v>468</v>
      </c>
      <c r="F242" s="3">
        <v>9.163063524E9</v>
      </c>
      <c r="G242" s="2" t="s">
        <v>49</v>
      </c>
      <c r="H242" s="2" t="s">
        <v>65</v>
      </c>
      <c r="I242" s="2" t="s">
        <v>103</v>
      </c>
      <c r="J242" s="2" t="s">
        <v>46</v>
      </c>
    </row>
    <row r="243">
      <c r="A243" s="3">
        <v>90900.0</v>
      </c>
      <c r="B243" s="2" t="s">
        <v>1140</v>
      </c>
      <c r="C243" s="5">
        <v>46190.50131944445</v>
      </c>
      <c r="D243" s="2" t="s">
        <v>520</v>
      </c>
      <c r="E243" s="2" t="s">
        <v>1141</v>
      </c>
      <c r="F243" s="3">
        <v>9.289577579E9</v>
      </c>
      <c r="G243" s="2" t="s">
        <v>49</v>
      </c>
      <c r="H243" s="2" t="s">
        <v>570</v>
      </c>
      <c r="I243" s="2" t="s">
        <v>570</v>
      </c>
      <c r="J243" s="2" t="s">
        <v>46</v>
      </c>
    </row>
    <row r="244">
      <c r="A244" s="3">
        <v>90901.0</v>
      </c>
      <c r="B244" s="2" t="s">
        <v>1142</v>
      </c>
      <c r="C244" s="5">
        <v>46190.52841435185</v>
      </c>
      <c r="D244" s="2" t="s">
        <v>520</v>
      </c>
      <c r="E244" s="2" t="s">
        <v>1143</v>
      </c>
      <c r="F244" s="3">
        <v>9.008081072E9</v>
      </c>
      <c r="G244" s="2" t="s">
        <v>49</v>
      </c>
      <c r="H244" s="2" t="s">
        <v>87</v>
      </c>
      <c r="I244" s="2" t="s">
        <v>86</v>
      </c>
      <c r="J244" s="2" t="s">
        <v>46</v>
      </c>
    </row>
    <row r="245">
      <c r="A245" s="3">
        <v>90902.0</v>
      </c>
      <c r="B245" s="2" t="s">
        <v>1144</v>
      </c>
      <c r="C245" s="5">
        <v>46190.53288194445</v>
      </c>
      <c r="D245" s="2" t="s">
        <v>520</v>
      </c>
      <c r="E245" s="2" t="s">
        <v>1145</v>
      </c>
      <c r="F245" s="3">
        <v>9.8712716E9</v>
      </c>
      <c r="G245" s="2" t="s">
        <v>49</v>
      </c>
      <c r="H245" s="2" t="s">
        <v>79</v>
      </c>
      <c r="I245" s="2" t="s">
        <v>874</v>
      </c>
      <c r="J245" s="2" t="s">
        <v>46</v>
      </c>
    </row>
    <row r="246">
      <c r="A246" s="3">
        <v>90903.0</v>
      </c>
      <c r="B246" s="2" t="s">
        <v>1146</v>
      </c>
      <c r="C246" s="5">
        <v>46190.54597222222</v>
      </c>
      <c r="D246" s="2" t="s">
        <v>520</v>
      </c>
      <c r="E246" s="2" t="s">
        <v>1147</v>
      </c>
      <c r="F246" s="3">
        <v>7.067261613E9</v>
      </c>
      <c r="G246" s="2" t="s">
        <v>49</v>
      </c>
      <c r="H246" s="2" t="s">
        <v>212</v>
      </c>
      <c r="I246" s="2" t="s">
        <v>1148</v>
      </c>
      <c r="J246" s="2" t="s">
        <v>46</v>
      </c>
    </row>
    <row r="247">
      <c r="A247" s="3">
        <v>90904.0</v>
      </c>
      <c r="B247" s="2" t="s">
        <v>1149</v>
      </c>
      <c r="C247" s="5">
        <v>46190.72091435185</v>
      </c>
      <c r="D247" s="2" t="s">
        <v>520</v>
      </c>
      <c r="E247" s="2" t="s">
        <v>1150</v>
      </c>
      <c r="F247" s="3">
        <v>7.349155027E9</v>
      </c>
      <c r="G247" s="2" t="s">
        <v>49</v>
      </c>
      <c r="H247" s="2" t="s">
        <v>87</v>
      </c>
      <c r="I247" s="2" t="s">
        <v>1151</v>
      </c>
      <c r="J247" s="2" t="s">
        <v>46</v>
      </c>
    </row>
    <row r="248">
      <c r="A248" s="3">
        <v>90905.0</v>
      </c>
      <c r="B248" s="2" t="s">
        <v>508</v>
      </c>
      <c r="C248" s="5">
        <v>46190.75796296296</v>
      </c>
      <c r="D248" s="2" t="s">
        <v>529</v>
      </c>
      <c r="E248" s="2" t="s">
        <v>509</v>
      </c>
      <c r="F248" s="3">
        <v>8.423015776E9</v>
      </c>
      <c r="G248" s="2" t="s">
        <v>49</v>
      </c>
      <c r="H248" s="2" t="s">
        <v>79</v>
      </c>
      <c r="I248" s="2" t="s">
        <v>1152</v>
      </c>
      <c r="J248" s="2" t="s">
        <v>46</v>
      </c>
    </row>
    <row r="249">
      <c r="A249" s="3">
        <v>90906.0</v>
      </c>
      <c r="B249" s="2" t="s">
        <v>1153</v>
      </c>
      <c r="C249" s="5">
        <v>46190.96613425926</v>
      </c>
      <c r="D249" s="2" t="s">
        <v>520</v>
      </c>
      <c r="E249" s="2" t="s">
        <v>1154</v>
      </c>
      <c r="F249" s="3">
        <v>8.218571354E9</v>
      </c>
      <c r="G249" s="2" t="s">
        <v>49</v>
      </c>
      <c r="H249" s="2" t="s">
        <v>79</v>
      </c>
      <c r="I249" s="2" t="s">
        <v>531</v>
      </c>
      <c r="J249" s="2" t="s">
        <v>46</v>
      </c>
    </row>
    <row r="250">
      <c r="A250" s="3">
        <v>90907.0</v>
      </c>
      <c r="B250" s="2" t="s">
        <v>1155</v>
      </c>
      <c r="C250" s="5">
        <v>46191.361666666664</v>
      </c>
      <c r="D250" s="2" t="s">
        <v>520</v>
      </c>
      <c r="E250" s="6"/>
      <c r="F250" s="6"/>
      <c r="G250" s="2" t="s">
        <v>49</v>
      </c>
      <c r="H250" s="2" t="s">
        <v>79</v>
      </c>
      <c r="I250" s="2" t="s">
        <v>1156</v>
      </c>
      <c r="J250" s="2" t="s">
        <v>46</v>
      </c>
    </row>
    <row r="251">
      <c r="A251" s="3">
        <v>90908.0</v>
      </c>
      <c r="B251" s="2" t="s">
        <v>1157</v>
      </c>
      <c r="C251" s="5">
        <v>46191.42244212963</v>
      </c>
      <c r="D251" s="2" t="s">
        <v>520</v>
      </c>
      <c r="E251" s="2" t="s">
        <v>1158</v>
      </c>
      <c r="F251" s="3">
        <v>8.90573082E9</v>
      </c>
      <c r="G251" s="2" t="s">
        <v>49</v>
      </c>
      <c r="H251" s="2" t="s">
        <v>173</v>
      </c>
      <c r="I251" s="2" t="s">
        <v>1159</v>
      </c>
      <c r="J251" s="2" t="s">
        <v>46</v>
      </c>
    </row>
    <row r="252">
      <c r="A252" s="3">
        <v>90909.0</v>
      </c>
      <c r="B252" s="2" t="s">
        <v>1160</v>
      </c>
      <c r="C252" s="5">
        <v>46191.44778935185</v>
      </c>
      <c r="D252" s="2" t="s">
        <v>520</v>
      </c>
      <c r="E252" s="2" t="s">
        <v>1161</v>
      </c>
      <c r="F252" s="3">
        <v>8.825460485E9</v>
      </c>
      <c r="G252" s="2" t="s">
        <v>49</v>
      </c>
      <c r="H252" s="2" t="s">
        <v>169</v>
      </c>
      <c r="I252" s="2" t="s">
        <v>1162</v>
      </c>
      <c r="J252" s="2" t="s">
        <v>46</v>
      </c>
    </row>
    <row r="253">
      <c r="A253" s="3">
        <v>90910.0</v>
      </c>
      <c r="B253" s="2" t="s">
        <v>1163</v>
      </c>
      <c r="C253" s="5">
        <v>46191.46160879629</v>
      </c>
      <c r="D253" s="2" t="s">
        <v>529</v>
      </c>
      <c r="E253" s="2" t="s">
        <v>1164</v>
      </c>
      <c r="F253" s="8">
        <v>9.7151E11</v>
      </c>
      <c r="G253" s="2" t="s">
        <v>1165</v>
      </c>
      <c r="H253" s="2" t="s">
        <v>1166</v>
      </c>
      <c r="I253" s="2" t="s">
        <v>1166</v>
      </c>
      <c r="J253" s="2" t="s">
        <v>46</v>
      </c>
    </row>
    <row r="254">
      <c r="A254" s="3">
        <v>90911.0</v>
      </c>
      <c r="B254" s="2" t="s">
        <v>1167</v>
      </c>
      <c r="C254" s="5">
        <v>46191.48883101852</v>
      </c>
      <c r="D254" s="2" t="s">
        <v>520</v>
      </c>
      <c r="E254" s="2" t="s">
        <v>1168</v>
      </c>
      <c r="F254" s="3">
        <v>8.778640437E9</v>
      </c>
      <c r="G254" s="2" t="s">
        <v>49</v>
      </c>
      <c r="H254" s="2" t="s">
        <v>169</v>
      </c>
      <c r="I254" s="2" t="s">
        <v>299</v>
      </c>
      <c r="J254" s="2" t="s">
        <v>46</v>
      </c>
    </row>
    <row r="255">
      <c r="A255" s="3">
        <v>90912.0</v>
      </c>
      <c r="B255" s="2" t="s">
        <v>1169</v>
      </c>
      <c r="C255" s="5">
        <v>46191.590462962966</v>
      </c>
      <c r="D255" s="2" t="s">
        <v>529</v>
      </c>
      <c r="E255" s="2" t="s">
        <v>1170</v>
      </c>
      <c r="F255" s="3">
        <v>7.567409868E9</v>
      </c>
      <c r="G255" s="2" t="s">
        <v>49</v>
      </c>
      <c r="H255" s="2" t="s">
        <v>87</v>
      </c>
      <c r="I255" s="2" t="s">
        <v>86</v>
      </c>
      <c r="J255" s="2" t="s">
        <v>46</v>
      </c>
    </row>
    <row r="256">
      <c r="A256" s="3">
        <v>90916.0</v>
      </c>
      <c r="B256" s="2" t="s">
        <v>1171</v>
      </c>
      <c r="C256" s="5">
        <v>46191.69559027778</v>
      </c>
      <c r="D256" s="2" t="s">
        <v>520</v>
      </c>
      <c r="E256" s="2" t="s">
        <v>1172</v>
      </c>
      <c r="F256" s="3">
        <v>8.529103378E9</v>
      </c>
      <c r="G256" s="2" t="s">
        <v>49</v>
      </c>
      <c r="H256" s="2" t="s">
        <v>173</v>
      </c>
      <c r="I256" s="2" t="s">
        <v>1173</v>
      </c>
      <c r="J256" s="2" t="s">
        <v>46</v>
      </c>
    </row>
    <row r="257">
      <c r="A257" s="3">
        <v>90917.0</v>
      </c>
      <c r="B257" s="2" t="s">
        <v>1174</v>
      </c>
      <c r="C257" s="5">
        <v>46191.715092592596</v>
      </c>
      <c r="D257" s="2" t="s">
        <v>520</v>
      </c>
      <c r="E257" s="2" t="s">
        <v>1175</v>
      </c>
      <c r="F257" s="3">
        <v>8.764834799E9</v>
      </c>
      <c r="G257" s="2" t="s">
        <v>49</v>
      </c>
      <c r="H257" s="2" t="s">
        <v>173</v>
      </c>
      <c r="I257" s="2" t="s">
        <v>544</v>
      </c>
      <c r="J257" s="2" t="s">
        <v>46</v>
      </c>
    </row>
    <row r="258">
      <c r="A258" s="3">
        <v>90918.0</v>
      </c>
      <c r="B258" s="2" t="s">
        <v>1176</v>
      </c>
      <c r="C258" s="5">
        <v>46191.74888888889</v>
      </c>
      <c r="D258" s="2" t="s">
        <v>520</v>
      </c>
      <c r="E258" s="2" t="s">
        <v>1177</v>
      </c>
      <c r="F258" s="3">
        <v>9.325468109E9</v>
      </c>
      <c r="G258" s="2" t="s">
        <v>49</v>
      </c>
      <c r="H258" s="2" t="s">
        <v>48</v>
      </c>
      <c r="I258" s="2" t="s">
        <v>551</v>
      </c>
      <c r="J258" s="2" t="s">
        <v>46</v>
      </c>
    </row>
    <row r="259">
      <c r="A259" s="3">
        <v>90919.0</v>
      </c>
      <c r="B259" s="2" t="s">
        <v>1178</v>
      </c>
      <c r="C259" s="5">
        <v>46191.84305555555</v>
      </c>
      <c r="D259" s="2" t="s">
        <v>520</v>
      </c>
      <c r="E259" s="2" t="s">
        <v>1179</v>
      </c>
      <c r="F259" s="3">
        <v>9.089943357E9</v>
      </c>
      <c r="G259" s="2" t="s">
        <v>49</v>
      </c>
      <c r="H259" s="2" t="s">
        <v>1180</v>
      </c>
      <c r="I259" s="2" t="s">
        <v>1181</v>
      </c>
      <c r="J259" s="2" t="s">
        <v>46</v>
      </c>
    </row>
    <row r="260">
      <c r="A260" s="3">
        <v>90920.0</v>
      </c>
      <c r="B260" s="2" t="s">
        <v>1182</v>
      </c>
      <c r="C260" s="5">
        <v>46191.843981481485</v>
      </c>
      <c r="D260" s="2" t="s">
        <v>520</v>
      </c>
      <c r="E260" s="2" t="s">
        <v>1183</v>
      </c>
      <c r="F260" s="3">
        <v>9.758989591E9</v>
      </c>
      <c r="G260" s="2" t="s">
        <v>49</v>
      </c>
      <c r="H260" s="2" t="s">
        <v>79</v>
      </c>
      <c r="I260" s="2" t="s">
        <v>1184</v>
      </c>
      <c r="J260" s="2" t="s">
        <v>46</v>
      </c>
    </row>
    <row r="261">
      <c r="A261" s="3">
        <v>90921.0</v>
      </c>
      <c r="B261" s="2" t="s">
        <v>1185</v>
      </c>
      <c r="C261" s="5">
        <v>46191.85056712963</v>
      </c>
      <c r="D261" s="2" t="s">
        <v>529</v>
      </c>
      <c r="E261" s="2" t="s">
        <v>1186</v>
      </c>
      <c r="F261" s="2" t="s">
        <v>1187</v>
      </c>
      <c r="G261" s="2" t="s">
        <v>127</v>
      </c>
      <c r="H261" s="2" t="s">
        <v>1188</v>
      </c>
      <c r="I261" s="2" t="s">
        <v>1189</v>
      </c>
      <c r="J261" s="2" t="s">
        <v>46</v>
      </c>
    </row>
    <row r="262">
      <c r="A262" s="3">
        <v>90922.0</v>
      </c>
      <c r="B262" s="2" t="s">
        <v>1190</v>
      </c>
      <c r="C262" s="5">
        <v>46191.893854166665</v>
      </c>
      <c r="D262" s="2" t="s">
        <v>529</v>
      </c>
      <c r="E262" s="2" t="s">
        <v>1191</v>
      </c>
      <c r="F262" s="3">
        <v>6.207977964E9</v>
      </c>
      <c r="G262" s="2" t="s">
        <v>49</v>
      </c>
      <c r="H262" s="2" t="s">
        <v>87</v>
      </c>
      <c r="I262" s="2" t="s">
        <v>86</v>
      </c>
      <c r="J262" s="6"/>
      <c r="K262" s="6"/>
    </row>
    <row r="263">
      <c r="A263" s="3">
        <v>90923.0</v>
      </c>
      <c r="B263" s="2" t="s">
        <v>1192</v>
      </c>
      <c r="C263" s="5">
        <v>46191.93767361111</v>
      </c>
      <c r="D263" s="2" t="s">
        <v>520</v>
      </c>
      <c r="E263" s="2" t="s">
        <v>1193</v>
      </c>
      <c r="F263" s="3">
        <v>7.065098382E9</v>
      </c>
      <c r="G263" s="2" t="s">
        <v>49</v>
      </c>
      <c r="H263" s="2" t="s">
        <v>570</v>
      </c>
      <c r="I263" s="2" t="s">
        <v>570</v>
      </c>
      <c r="J263" s="2" t="s">
        <v>46</v>
      </c>
    </row>
    <row r="264">
      <c r="A264" s="3">
        <v>90924.0</v>
      </c>
      <c r="B264" s="2" t="s">
        <v>1194</v>
      </c>
      <c r="C264" s="5">
        <v>46191.97752314815</v>
      </c>
      <c r="D264" s="2" t="s">
        <v>529</v>
      </c>
      <c r="E264" s="2" t="s">
        <v>1195</v>
      </c>
      <c r="G264" s="2" t="s">
        <v>49</v>
      </c>
      <c r="H264" s="2" t="s">
        <v>79</v>
      </c>
      <c r="I264" s="2" t="s">
        <v>583</v>
      </c>
      <c r="J264" s="2" t="s">
        <v>46</v>
      </c>
    </row>
    <row r="265">
      <c r="A265" s="3">
        <v>90925.0</v>
      </c>
      <c r="B265" s="2" t="s">
        <v>1196</v>
      </c>
      <c r="C265" s="5">
        <v>46191.978541666664</v>
      </c>
      <c r="D265" s="2" t="s">
        <v>520</v>
      </c>
      <c r="E265" s="2" t="s">
        <v>1197</v>
      </c>
      <c r="F265" s="3">
        <v>9.560373807E9</v>
      </c>
      <c r="G265" s="2" t="s">
        <v>49</v>
      </c>
      <c r="H265" s="2" t="s">
        <v>79</v>
      </c>
      <c r="I265" s="2" t="s">
        <v>583</v>
      </c>
      <c r="J265" s="2" t="s">
        <v>46</v>
      </c>
    </row>
    <row r="266">
      <c r="A266" s="3">
        <v>90926.0</v>
      </c>
      <c r="B266" s="2" t="s">
        <v>123</v>
      </c>
      <c r="C266" s="5">
        <v>46192.16315972222</v>
      </c>
      <c r="D266" s="2" t="s">
        <v>520</v>
      </c>
      <c r="E266" s="2" t="s">
        <v>124</v>
      </c>
      <c r="F266" s="3">
        <v>7.202737965E9</v>
      </c>
      <c r="G266" s="2" t="s">
        <v>127</v>
      </c>
      <c r="H266" s="2" t="s">
        <v>126</v>
      </c>
      <c r="I266" s="2" t="s">
        <v>125</v>
      </c>
      <c r="J266" s="2" t="s">
        <v>46</v>
      </c>
    </row>
    <row r="267">
      <c r="A267" s="3">
        <v>90927.0</v>
      </c>
      <c r="B267" s="2" t="s">
        <v>1198</v>
      </c>
      <c r="C267" s="5">
        <v>46192.4224537037</v>
      </c>
      <c r="D267" s="2" t="s">
        <v>520</v>
      </c>
      <c r="E267" s="2" t="s">
        <v>1199</v>
      </c>
      <c r="F267" s="3">
        <v>9.315474947E9</v>
      </c>
      <c r="G267" s="2" t="s">
        <v>49</v>
      </c>
      <c r="H267" s="2" t="s">
        <v>607</v>
      </c>
      <c r="I267" s="2" t="s">
        <v>1200</v>
      </c>
      <c r="J267" s="2" t="s">
        <v>46</v>
      </c>
    </row>
    <row r="268">
      <c r="A268" s="3">
        <v>90928.0</v>
      </c>
      <c r="B268" s="2" t="s">
        <v>1201</v>
      </c>
      <c r="C268" s="5">
        <v>46192.47760416667</v>
      </c>
      <c r="D268" s="2" t="s">
        <v>520</v>
      </c>
      <c r="E268" s="2" t="s">
        <v>1202</v>
      </c>
      <c r="F268" s="3">
        <v>9.336568599E9</v>
      </c>
      <c r="G268" s="2" t="s">
        <v>49</v>
      </c>
      <c r="H268" s="2" t="s">
        <v>79</v>
      </c>
      <c r="I268" s="2" t="s">
        <v>1203</v>
      </c>
      <c r="J268" s="2" t="s">
        <v>46</v>
      </c>
    </row>
    <row r="269">
      <c r="A269" s="3">
        <v>90929.0</v>
      </c>
      <c r="B269" s="2" t="s">
        <v>1204</v>
      </c>
      <c r="C269" s="5">
        <v>46192.479733796295</v>
      </c>
      <c r="D269" s="2" t="s">
        <v>529</v>
      </c>
      <c r="E269" s="2" t="s">
        <v>1205</v>
      </c>
      <c r="F269" s="3">
        <v>9.515894296E9</v>
      </c>
      <c r="G269" s="2" t="s">
        <v>49</v>
      </c>
      <c r="H269" s="2" t="s">
        <v>79</v>
      </c>
      <c r="I269" s="2" t="s">
        <v>807</v>
      </c>
      <c r="J269" s="2" t="s">
        <v>46</v>
      </c>
    </row>
    <row r="270">
      <c r="A270" s="3">
        <v>90930.0</v>
      </c>
      <c r="B270" s="2" t="s">
        <v>1206</v>
      </c>
      <c r="C270" s="5">
        <v>46192.509050925924</v>
      </c>
      <c r="D270" s="2" t="s">
        <v>520</v>
      </c>
      <c r="E270" s="2" t="s">
        <v>1207</v>
      </c>
      <c r="F270" s="3">
        <v>8.554083815E9</v>
      </c>
      <c r="G270" s="2" t="s">
        <v>49</v>
      </c>
      <c r="H270" s="2" t="s">
        <v>48</v>
      </c>
      <c r="I270" s="2" t="s">
        <v>551</v>
      </c>
      <c r="J270" s="2" t="s">
        <v>46</v>
      </c>
    </row>
    <row r="271">
      <c r="A271" s="3">
        <v>90931.0</v>
      </c>
      <c r="B271" s="2" t="s">
        <v>1208</v>
      </c>
      <c r="C271" s="5">
        <v>46192.53841435185</v>
      </c>
      <c r="D271" s="2" t="s">
        <v>520</v>
      </c>
      <c r="E271" s="2" t="s">
        <v>1209</v>
      </c>
      <c r="F271" s="3">
        <v>8.108257252E9</v>
      </c>
      <c r="G271" s="2" t="s">
        <v>49</v>
      </c>
      <c r="H271" s="2" t="s">
        <v>48</v>
      </c>
      <c r="I271" s="2" t="s">
        <v>240</v>
      </c>
      <c r="J271" s="2" t="s">
        <v>46</v>
      </c>
    </row>
    <row r="272">
      <c r="A272" s="3">
        <v>90932.0</v>
      </c>
      <c r="B272" s="2" t="s">
        <v>1210</v>
      </c>
      <c r="C272" s="5">
        <v>46192.57067129629</v>
      </c>
      <c r="D272" s="2" t="s">
        <v>520</v>
      </c>
      <c r="E272" s="2" t="s">
        <v>1211</v>
      </c>
      <c r="F272" s="8">
        <v>9.1872E11</v>
      </c>
      <c r="G272" s="2" t="s">
        <v>49</v>
      </c>
      <c r="H272" s="2" t="s">
        <v>87</v>
      </c>
      <c r="I272" s="2" t="s">
        <v>86</v>
      </c>
      <c r="J272" s="2" t="s">
        <v>46</v>
      </c>
    </row>
    <row r="273">
      <c r="A273" s="3">
        <v>90933.0</v>
      </c>
      <c r="B273" s="2" t="s">
        <v>1206</v>
      </c>
      <c r="C273" s="5">
        <v>46192.59920138889</v>
      </c>
      <c r="D273" s="2" t="s">
        <v>520</v>
      </c>
      <c r="E273" s="2" t="s">
        <v>1212</v>
      </c>
      <c r="F273" s="3">
        <v>8.554083815E9</v>
      </c>
      <c r="G273" s="2" t="s">
        <v>49</v>
      </c>
      <c r="H273" s="2" t="s">
        <v>48</v>
      </c>
      <c r="I273" s="2" t="s">
        <v>551</v>
      </c>
      <c r="J273" s="2" t="s">
        <v>46</v>
      </c>
    </row>
    <row r="274">
      <c r="A274" s="3">
        <v>90934.0</v>
      </c>
      <c r="B274" s="2" t="s">
        <v>1213</v>
      </c>
      <c r="C274" s="5">
        <v>46192.63150462963</v>
      </c>
      <c r="D274" s="2" t="s">
        <v>520</v>
      </c>
      <c r="E274" s="2" t="s">
        <v>1214</v>
      </c>
      <c r="F274" s="3">
        <v>9.638475968E9</v>
      </c>
      <c r="G274" s="2" t="s">
        <v>49</v>
      </c>
      <c r="H274" s="2" t="s">
        <v>169</v>
      </c>
      <c r="I274" s="2" t="s">
        <v>1215</v>
      </c>
      <c r="J274" s="2" t="s">
        <v>46</v>
      </c>
    </row>
    <row r="275">
      <c r="A275" s="3">
        <v>90935.0</v>
      </c>
      <c r="B275" s="2" t="s">
        <v>1216</v>
      </c>
      <c r="C275" s="5">
        <v>46192.66038194444</v>
      </c>
      <c r="D275" s="2" t="s">
        <v>520</v>
      </c>
      <c r="E275" s="2" t="s">
        <v>1217</v>
      </c>
      <c r="F275" s="3">
        <v>7.417359311E9</v>
      </c>
      <c r="G275" s="2" t="s">
        <v>49</v>
      </c>
      <c r="H275" s="2" t="s">
        <v>570</v>
      </c>
      <c r="I275" s="2" t="s">
        <v>782</v>
      </c>
      <c r="J275" s="2" t="s">
        <v>46</v>
      </c>
    </row>
    <row r="276">
      <c r="A276" s="3">
        <v>90936.0</v>
      </c>
      <c r="B276" s="2" t="s">
        <v>1218</v>
      </c>
      <c r="C276" s="5">
        <v>46192.67921296296</v>
      </c>
      <c r="D276" s="2" t="s">
        <v>529</v>
      </c>
      <c r="E276" s="2" t="s">
        <v>1219</v>
      </c>
      <c r="F276" s="3">
        <v>8.102494825E9</v>
      </c>
      <c r="G276" s="2" t="s">
        <v>49</v>
      </c>
      <c r="H276" s="2" t="s">
        <v>607</v>
      </c>
      <c r="I276" s="2" t="s">
        <v>1220</v>
      </c>
      <c r="J276" s="2" t="s">
        <v>46</v>
      </c>
    </row>
    <row r="277">
      <c r="A277" s="3">
        <v>90937.0</v>
      </c>
      <c r="B277" s="2" t="s">
        <v>1221</v>
      </c>
      <c r="C277" s="5">
        <v>46192.790914351855</v>
      </c>
      <c r="D277" s="2" t="s">
        <v>529</v>
      </c>
      <c r="E277" s="2" t="s">
        <v>1222</v>
      </c>
      <c r="F277" s="3">
        <v>8.077134507E9</v>
      </c>
      <c r="G277" s="2" t="s">
        <v>49</v>
      </c>
      <c r="H277" s="2" t="s">
        <v>79</v>
      </c>
      <c r="I277" s="2" t="s">
        <v>583</v>
      </c>
      <c r="J277" s="2" t="s">
        <v>46</v>
      </c>
    </row>
    <row r="278">
      <c r="A278" s="3">
        <v>90938.0</v>
      </c>
      <c r="B278" s="2" t="s">
        <v>1223</v>
      </c>
      <c r="C278" s="5">
        <v>46192.79399305556</v>
      </c>
      <c r="D278" s="2" t="s">
        <v>520</v>
      </c>
      <c r="E278" s="2" t="s">
        <v>1224</v>
      </c>
      <c r="F278" s="3">
        <v>9.990864545E9</v>
      </c>
      <c r="G278" s="2" t="s">
        <v>49</v>
      </c>
      <c r="H278" s="2" t="s">
        <v>570</v>
      </c>
      <c r="I278" s="2" t="s">
        <v>570</v>
      </c>
      <c r="J278" s="2" t="s">
        <v>46</v>
      </c>
    </row>
    <row r="279">
      <c r="A279" s="3">
        <v>90939.0</v>
      </c>
      <c r="B279" s="2" t="s">
        <v>1225</v>
      </c>
      <c r="C279" s="5">
        <v>46192.81171296296</v>
      </c>
      <c r="D279" s="2" t="s">
        <v>529</v>
      </c>
      <c r="E279" s="2" t="s">
        <v>1226</v>
      </c>
      <c r="F279" s="6" t="str">
        <f>+91 99001-41199</f>
        <v>#ERROR!</v>
      </c>
      <c r="G279" s="2" t="s">
        <v>49</v>
      </c>
      <c r="H279" s="2" t="s">
        <v>87</v>
      </c>
      <c r="I279" s="2" t="s">
        <v>86</v>
      </c>
      <c r="J279" s="2" t="s">
        <v>46</v>
      </c>
    </row>
    <row r="280">
      <c r="A280" s="3">
        <v>90940.0</v>
      </c>
      <c r="B280" s="2" t="s">
        <v>1227</v>
      </c>
      <c r="C280" s="5">
        <v>46192.83498842592</v>
      </c>
      <c r="D280" s="2" t="s">
        <v>520</v>
      </c>
      <c r="E280" s="2" t="s">
        <v>1228</v>
      </c>
      <c r="F280" s="3">
        <v>7.390968967E9</v>
      </c>
      <c r="G280" s="2" t="s">
        <v>49</v>
      </c>
      <c r="H280" s="2" t="s">
        <v>79</v>
      </c>
      <c r="I280" s="2" t="s">
        <v>807</v>
      </c>
      <c r="J280" s="2" t="s">
        <v>46</v>
      </c>
    </row>
    <row r="281">
      <c r="A281" s="3">
        <v>90941.0</v>
      </c>
      <c r="B281" s="2" t="s">
        <v>1229</v>
      </c>
      <c r="C281" s="5">
        <v>46192.87152777778</v>
      </c>
      <c r="D281" s="2" t="s">
        <v>529</v>
      </c>
      <c r="E281" s="2" t="s">
        <v>1230</v>
      </c>
      <c r="F281" s="3">
        <v>8.072694708E9</v>
      </c>
      <c r="G281" s="2" t="s">
        <v>49</v>
      </c>
      <c r="H281" s="2" t="s">
        <v>169</v>
      </c>
      <c r="I281" s="2" t="s">
        <v>168</v>
      </c>
      <c r="J281" s="2" t="s">
        <v>46</v>
      </c>
    </row>
    <row r="282">
      <c r="A282" s="3">
        <v>90942.0</v>
      </c>
      <c r="B282" s="2" t="s">
        <v>1231</v>
      </c>
      <c r="C282" s="5">
        <v>46192.872083333335</v>
      </c>
      <c r="D282" s="2" t="s">
        <v>529</v>
      </c>
      <c r="E282" s="2" t="s">
        <v>1232</v>
      </c>
      <c r="F282" s="3">
        <v>7.908572807E9</v>
      </c>
      <c r="G282" s="2" t="s">
        <v>49</v>
      </c>
      <c r="H282" s="2" t="s">
        <v>65</v>
      </c>
      <c r="I282" s="2" t="s">
        <v>103</v>
      </c>
      <c r="J282" s="2" t="s">
        <v>46</v>
      </c>
    </row>
    <row r="283">
      <c r="A283" s="3">
        <v>90943.0</v>
      </c>
      <c r="B283" s="2" t="s">
        <v>1233</v>
      </c>
      <c r="C283" s="5">
        <v>46192.94733796296</v>
      </c>
      <c r="D283" s="2" t="s">
        <v>520</v>
      </c>
      <c r="E283" s="2" t="s">
        <v>1234</v>
      </c>
      <c r="F283" s="3">
        <v>8.057169971E9</v>
      </c>
      <c r="G283" s="2" t="s">
        <v>49</v>
      </c>
      <c r="H283" s="2" t="s">
        <v>181</v>
      </c>
      <c r="I283" s="2" t="s">
        <v>180</v>
      </c>
      <c r="J283" s="2" t="s">
        <v>46</v>
      </c>
    </row>
    <row r="284">
      <c r="A284" s="3">
        <v>90944.0</v>
      </c>
      <c r="B284" s="2" t="s">
        <v>1235</v>
      </c>
      <c r="C284" s="5">
        <v>46192.99091435185</v>
      </c>
      <c r="D284" s="2" t="s">
        <v>520</v>
      </c>
      <c r="E284" s="2" t="s">
        <v>1236</v>
      </c>
      <c r="F284" s="3">
        <v>8.178828518E9</v>
      </c>
      <c r="G284" s="2" t="s">
        <v>49</v>
      </c>
      <c r="H284" s="2" t="s">
        <v>570</v>
      </c>
      <c r="I284" s="2" t="s">
        <v>570</v>
      </c>
      <c r="J284" s="2" t="s">
        <v>46</v>
      </c>
    </row>
    <row r="285">
      <c r="A285" s="3">
        <v>90945.0</v>
      </c>
      <c r="B285" s="2" t="s">
        <v>1237</v>
      </c>
      <c r="C285" s="5">
        <v>46193.519421296296</v>
      </c>
      <c r="D285" s="2" t="s">
        <v>529</v>
      </c>
      <c r="E285" s="2" t="s">
        <v>1238</v>
      </c>
      <c r="F285" s="3">
        <v>7.300043991E9</v>
      </c>
      <c r="G285" s="2" t="s">
        <v>49</v>
      </c>
      <c r="H285" s="2" t="s">
        <v>87</v>
      </c>
      <c r="I285" s="2" t="s">
        <v>86</v>
      </c>
      <c r="J285" s="2" t="s">
        <v>46</v>
      </c>
    </row>
    <row r="286">
      <c r="A286" s="3">
        <v>90946.0</v>
      </c>
      <c r="B286" s="2" t="s">
        <v>1239</v>
      </c>
      <c r="C286" s="5">
        <v>46193.54263888889</v>
      </c>
      <c r="D286" s="2" t="s">
        <v>529</v>
      </c>
      <c r="E286" s="2" t="s">
        <v>1240</v>
      </c>
      <c r="F286" s="3">
        <v>6.207219694E9</v>
      </c>
      <c r="G286" s="2" t="s">
        <v>49</v>
      </c>
      <c r="H286" s="2" t="s">
        <v>607</v>
      </c>
      <c r="I286" s="2" t="s">
        <v>1241</v>
      </c>
      <c r="J286" s="2" t="s">
        <v>1242</v>
      </c>
    </row>
    <row r="287">
      <c r="A287" s="3">
        <v>90947.0</v>
      </c>
      <c r="B287" s="2" t="s">
        <v>1243</v>
      </c>
      <c r="C287" s="5">
        <v>46193.543761574074</v>
      </c>
      <c r="D287" s="2" t="s">
        <v>529</v>
      </c>
      <c r="E287" s="2" t="s">
        <v>1244</v>
      </c>
      <c r="F287" s="3">
        <v>9.934434413E9</v>
      </c>
      <c r="G287" s="2" t="s">
        <v>49</v>
      </c>
      <c r="H287" s="2" t="s">
        <v>607</v>
      </c>
      <c r="I287" s="2" t="s">
        <v>1245</v>
      </c>
      <c r="J287" s="2" t="s">
        <v>1242</v>
      </c>
    </row>
    <row r="288">
      <c r="A288" s="3">
        <v>90948.0</v>
      </c>
      <c r="B288" s="2" t="s">
        <v>1246</v>
      </c>
      <c r="C288" s="5">
        <v>46193.54554398148</v>
      </c>
      <c r="D288" s="2" t="s">
        <v>529</v>
      </c>
      <c r="E288" s="2" t="s">
        <v>1247</v>
      </c>
      <c r="F288" s="3">
        <v>9.110126773E9</v>
      </c>
      <c r="G288" s="2" t="s">
        <v>49</v>
      </c>
      <c r="H288" s="2" t="s">
        <v>607</v>
      </c>
      <c r="I288" s="2" t="s">
        <v>1241</v>
      </c>
      <c r="J288" s="2" t="s">
        <v>1242</v>
      </c>
    </row>
    <row r="289">
      <c r="A289" s="3">
        <v>90949.0</v>
      </c>
      <c r="B289" s="2" t="s">
        <v>1248</v>
      </c>
      <c r="C289" s="5">
        <v>46193.55027777778</v>
      </c>
      <c r="D289" s="2" t="s">
        <v>520</v>
      </c>
      <c r="E289" s="2" t="s">
        <v>1249</v>
      </c>
      <c r="F289" s="3">
        <v>6.203265574E9</v>
      </c>
      <c r="G289" s="2" t="s">
        <v>49</v>
      </c>
      <c r="H289" s="2" t="s">
        <v>607</v>
      </c>
      <c r="I289" s="2" t="s">
        <v>1245</v>
      </c>
      <c r="J289" s="2" t="s">
        <v>1242</v>
      </c>
    </row>
    <row r="290">
      <c r="A290" s="3">
        <v>90950.0</v>
      </c>
      <c r="B290" s="2" t="s">
        <v>1250</v>
      </c>
      <c r="C290" s="5">
        <v>46193.561006944445</v>
      </c>
      <c r="D290" s="2" t="s">
        <v>529</v>
      </c>
      <c r="E290" s="2" t="s">
        <v>1251</v>
      </c>
      <c r="F290" s="3">
        <v>9.798273938E9</v>
      </c>
      <c r="G290" s="2" t="s">
        <v>49</v>
      </c>
      <c r="H290" s="2" t="s">
        <v>607</v>
      </c>
      <c r="I290" s="2" t="s">
        <v>1241</v>
      </c>
      <c r="J290" s="2" t="s">
        <v>1242</v>
      </c>
    </row>
    <row r="291">
      <c r="A291" s="3">
        <v>90951.0</v>
      </c>
      <c r="B291" s="2" t="s">
        <v>1252</v>
      </c>
      <c r="C291" s="5">
        <v>46193.565</v>
      </c>
      <c r="D291" s="2" t="s">
        <v>520</v>
      </c>
      <c r="E291" s="2" t="s">
        <v>1253</v>
      </c>
      <c r="F291" s="3">
        <v>9.9536592E9</v>
      </c>
      <c r="G291" s="2" t="s">
        <v>49</v>
      </c>
      <c r="H291" s="2" t="s">
        <v>87</v>
      </c>
      <c r="I291" s="2" t="s">
        <v>86</v>
      </c>
      <c r="J291" s="2" t="s">
        <v>46</v>
      </c>
    </row>
    <row r="292">
      <c r="A292" s="3">
        <v>90952.0</v>
      </c>
      <c r="B292" s="2" t="s">
        <v>1254</v>
      </c>
      <c r="C292" s="5">
        <v>46193.60822916667</v>
      </c>
      <c r="D292" s="2" t="s">
        <v>520</v>
      </c>
      <c r="E292" s="2" t="s">
        <v>1255</v>
      </c>
      <c r="F292" s="3">
        <v>9.811369298E9</v>
      </c>
      <c r="G292" s="2" t="s">
        <v>49</v>
      </c>
      <c r="H292" s="2" t="s">
        <v>76</v>
      </c>
      <c r="I292" s="2" t="s">
        <v>376</v>
      </c>
      <c r="J292" s="2" t="s">
        <v>46</v>
      </c>
    </row>
    <row r="293">
      <c r="A293" s="3">
        <v>90953.0</v>
      </c>
      <c r="B293" s="2" t="s">
        <v>1256</v>
      </c>
      <c r="C293" s="5">
        <v>46193.63013888889</v>
      </c>
      <c r="D293" s="2" t="s">
        <v>520</v>
      </c>
      <c r="E293" s="2" t="s">
        <v>1257</v>
      </c>
      <c r="F293" s="3">
        <v>8.707473378E9</v>
      </c>
      <c r="G293" s="2" t="s">
        <v>49</v>
      </c>
      <c r="H293" s="2" t="s">
        <v>79</v>
      </c>
      <c r="I293" s="2" t="s">
        <v>1258</v>
      </c>
      <c r="J293" s="2" t="s">
        <v>46</v>
      </c>
    </row>
    <row r="294">
      <c r="A294" s="3">
        <v>90954.0</v>
      </c>
      <c r="B294" s="2" t="s">
        <v>1259</v>
      </c>
      <c r="C294" s="5">
        <v>46193.64430555556</v>
      </c>
      <c r="D294" s="2" t="s">
        <v>520</v>
      </c>
      <c r="E294" s="2" t="s">
        <v>1260</v>
      </c>
      <c r="F294" s="3">
        <v>9.898630751E9</v>
      </c>
      <c r="G294" s="2" t="s">
        <v>49</v>
      </c>
      <c r="H294" s="2" t="s">
        <v>1261</v>
      </c>
      <c r="I294" s="2" t="s">
        <v>1262</v>
      </c>
      <c r="J294" s="2" t="s">
        <v>46</v>
      </c>
    </row>
    <row r="295">
      <c r="A295" s="3">
        <v>90958.0</v>
      </c>
      <c r="B295" s="2" t="s">
        <v>1263</v>
      </c>
      <c r="C295" s="5">
        <v>46193.74050925926</v>
      </c>
      <c r="D295" s="2" t="s">
        <v>520</v>
      </c>
      <c r="E295" s="2" t="s">
        <v>1264</v>
      </c>
      <c r="F295" s="3">
        <v>8.826633193E9</v>
      </c>
      <c r="G295" s="2" t="s">
        <v>49</v>
      </c>
      <c r="H295" s="2" t="s">
        <v>570</v>
      </c>
      <c r="I295" s="2" t="s">
        <v>782</v>
      </c>
      <c r="J295" s="2" t="s">
        <v>46</v>
      </c>
    </row>
    <row r="296">
      <c r="A296" s="3">
        <v>90959.0</v>
      </c>
      <c r="B296" s="2" t="s">
        <v>1265</v>
      </c>
      <c r="C296" s="5">
        <v>46193.87604166667</v>
      </c>
      <c r="D296" s="2" t="s">
        <v>520</v>
      </c>
      <c r="E296" s="2" t="s">
        <v>1266</v>
      </c>
      <c r="F296" s="3">
        <v>8.607907329E9</v>
      </c>
      <c r="G296" s="2" t="s">
        <v>49</v>
      </c>
      <c r="H296" s="2" t="s">
        <v>76</v>
      </c>
      <c r="I296" s="2" t="s">
        <v>1267</v>
      </c>
      <c r="J296" s="2" t="s">
        <v>46</v>
      </c>
    </row>
    <row r="297">
      <c r="A297" s="3">
        <v>90960.0</v>
      </c>
      <c r="B297" s="2" t="s">
        <v>1268</v>
      </c>
      <c r="C297" s="5">
        <v>46193.89902777778</v>
      </c>
      <c r="D297" s="2" t="s">
        <v>529</v>
      </c>
      <c r="E297" s="2" t="s">
        <v>1269</v>
      </c>
      <c r="F297" s="6" t="str">
        <f>+91 90846 87650</f>
        <v>#ERROR!</v>
      </c>
      <c r="G297" s="2" t="s">
        <v>49</v>
      </c>
      <c r="H297" s="2" t="s">
        <v>79</v>
      </c>
      <c r="I297" s="2" t="s">
        <v>636</v>
      </c>
      <c r="J297" s="2" t="s">
        <v>46</v>
      </c>
    </row>
    <row r="298">
      <c r="A298" s="3">
        <v>90961.0</v>
      </c>
      <c r="B298" s="2" t="s">
        <v>1270</v>
      </c>
      <c r="C298" s="5">
        <v>46194.097337962965</v>
      </c>
      <c r="D298" s="2" t="s">
        <v>529</v>
      </c>
      <c r="E298" s="2" t="s">
        <v>1271</v>
      </c>
      <c r="F298" s="6" t="str">
        <f>+1 980-776-5033</f>
        <v>#ERROR!</v>
      </c>
      <c r="G298" s="2" t="s">
        <v>127</v>
      </c>
      <c r="H298" s="2" t="s">
        <v>1272</v>
      </c>
      <c r="I298" s="2" t="s">
        <v>1273</v>
      </c>
      <c r="J298" s="2" t="s">
        <v>46</v>
      </c>
    </row>
    <row r="299">
      <c r="A299" s="3">
        <v>90962.0</v>
      </c>
      <c r="B299" s="2" t="s">
        <v>1274</v>
      </c>
      <c r="C299" s="5">
        <v>46194.44194444444</v>
      </c>
      <c r="D299" s="2" t="s">
        <v>520</v>
      </c>
      <c r="E299" s="2" t="s">
        <v>1275</v>
      </c>
      <c r="F299" s="3">
        <v>8.80084531E9</v>
      </c>
      <c r="G299" s="2" t="s">
        <v>49</v>
      </c>
      <c r="H299" s="2" t="s">
        <v>48</v>
      </c>
      <c r="I299" s="2" t="s">
        <v>573</v>
      </c>
      <c r="J299" s="2" t="s">
        <v>46</v>
      </c>
    </row>
    <row r="300">
      <c r="A300" s="3">
        <v>90963.0</v>
      </c>
      <c r="B300" s="2" t="s">
        <v>1276</v>
      </c>
      <c r="C300" s="5">
        <v>46194.454039351855</v>
      </c>
      <c r="D300" s="2" t="s">
        <v>520</v>
      </c>
      <c r="E300" s="2" t="s">
        <v>1277</v>
      </c>
      <c r="F300" s="3">
        <v>9.654776367E9</v>
      </c>
      <c r="G300" s="2" t="s">
        <v>49</v>
      </c>
      <c r="H300" s="2" t="s">
        <v>79</v>
      </c>
      <c r="I300" s="2" t="s">
        <v>583</v>
      </c>
      <c r="J300" s="2" t="s">
        <v>46</v>
      </c>
    </row>
    <row r="301">
      <c r="A301" s="3">
        <v>90964.0</v>
      </c>
      <c r="B301" s="2" t="s">
        <v>1278</v>
      </c>
      <c r="C301" s="5">
        <v>46194.489074074074</v>
      </c>
      <c r="D301" s="2" t="s">
        <v>529</v>
      </c>
      <c r="E301" s="2" t="s">
        <v>1279</v>
      </c>
      <c r="F301" s="3">
        <v>8.210793366E9</v>
      </c>
      <c r="G301" s="2" t="s">
        <v>49</v>
      </c>
      <c r="H301" s="2" t="s">
        <v>119</v>
      </c>
      <c r="I301" s="2" t="s">
        <v>1280</v>
      </c>
      <c r="J301" s="2" t="s">
        <v>46</v>
      </c>
    </row>
    <row r="302">
      <c r="A302" s="3">
        <v>90965.0</v>
      </c>
      <c r="B302" s="2" t="s">
        <v>1281</v>
      </c>
      <c r="C302" s="5">
        <v>46194.499340277776</v>
      </c>
      <c r="D302" s="2" t="s">
        <v>520</v>
      </c>
      <c r="E302" s="2" t="s">
        <v>1282</v>
      </c>
      <c r="F302" s="3">
        <v>9.122629688E9</v>
      </c>
      <c r="G302" s="2" t="s">
        <v>49</v>
      </c>
      <c r="H302" s="2" t="s">
        <v>119</v>
      </c>
      <c r="I302" s="2" t="s">
        <v>118</v>
      </c>
      <c r="J302" s="2" t="s">
        <v>46</v>
      </c>
    </row>
    <row r="303">
      <c r="A303" s="3">
        <v>90966.0</v>
      </c>
      <c r="B303" s="2" t="s">
        <v>1283</v>
      </c>
      <c r="C303" s="5">
        <v>46194.538993055554</v>
      </c>
      <c r="D303" s="2" t="s">
        <v>520</v>
      </c>
      <c r="E303" s="2" t="s">
        <v>1284</v>
      </c>
      <c r="F303" s="3">
        <v>9.674141789E9</v>
      </c>
      <c r="G303" s="2" t="s">
        <v>49</v>
      </c>
      <c r="H303" s="2" t="s">
        <v>48</v>
      </c>
      <c r="I303" s="2" t="s">
        <v>47</v>
      </c>
      <c r="J303" s="2" t="s">
        <v>46</v>
      </c>
    </row>
    <row r="304">
      <c r="A304" s="3">
        <v>90967.0</v>
      </c>
      <c r="B304" s="2" t="s">
        <v>1285</v>
      </c>
      <c r="C304" s="5">
        <v>46194.617743055554</v>
      </c>
      <c r="D304" s="2" t="s">
        <v>520</v>
      </c>
      <c r="E304" s="2" t="s">
        <v>1286</v>
      </c>
      <c r="F304" s="3">
        <v>7.083579386E9</v>
      </c>
      <c r="G304" s="2" t="s">
        <v>49</v>
      </c>
      <c r="H304" s="2" t="s">
        <v>48</v>
      </c>
      <c r="I304" s="2" t="s">
        <v>551</v>
      </c>
      <c r="J304" s="2" t="s">
        <v>46</v>
      </c>
    </row>
    <row r="305">
      <c r="A305" s="3">
        <v>90968.0</v>
      </c>
      <c r="B305" s="2" t="s">
        <v>360</v>
      </c>
      <c r="C305" s="5">
        <v>46194.62585648148</v>
      </c>
      <c r="D305" s="2" t="s">
        <v>520</v>
      </c>
      <c r="E305" s="2" t="s">
        <v>361</v>
      </c>
      <c r="F305" s="3">
        <v>8.277685621E9</v>
      </c>
      <c r="G305" s="2" t="s">
        <v>49</v>
      </c>
      <c r="H305" s="2" t="s">
        <v>87</v>
      </c>
      <c r="I305" s="2" t="s">
        <v>86</v>
      </c>
      <c r="J305" s="2" t="s">
        <v>46</v>
      </c>
    </row>
    <row r="306">
      <c r="A306" s="3">
        <v>90969.0</v>
      </c>
      <c r="B306" s="2" t="s">
        <v>1287</v>
      </c>
      <c r="C306" s="5">
        <v>46194.72754629629</v>
      </c>
      <c r="D306" s="2" t="s">
        <v>529</v>
      </c>
      <c r="E306" s="2" t="s">
        <v>1288</v>
      </c>
      <c r="F306" s="3">
        <v>9.121277279E9</v>
      </c>
      <c r="G306" s="2" t="s">
        <v>49</v>
      </c>
      <c r="H306" s="2" t="s">
        <v>87</v>
      </c>
      <c r="I306" s="2" t="s">
        <v>86</v>
      </c>
      <c r="J306" s="2" t="s">
        <v>46</v>
      </c>
    </row>
    <row r="307">
      <c r="A307" s="3">
        <v>90970.0</v>
      </c>
      <c r="B307" s="2" t="s">
        <v>1289</v>
      </c>
      <c r="C307" s="5">
        <v>46194.75460648148</v>
      </c>
      <c r="D307" s="2" t="s">
        <v>529</v>
      </c>
      <c r="E307" s="2" t="s">
        <v>1290</v>
      </c>
      <c r="F307" s="3">
        <v>8.178162653E9</v>
      </c>
      <c r="G307" s="2" t="s">
        <v>49</v>
      </c>
      <c r="H307" s="2" t="s">
        <v>570</v>
      </c>
      <c r="I307" s="2" t="s">
        <v>570</v>
      </c>
      <c r="J307" s="2" t="s">
        <v>46</v>
      </c>
    </row>
    <row r="308">
      <c r="A308" s="3">
        <v>90971.0</v>
      </c>
      <c r="B308" s="2" t="s">
        <v>1291</v>
      </c>
      <c r="C308" s="5">
        <v>46194.77982638889</v>
      </c>
      <c r="D308" s="2" t="s">
        <v>520</v>
      </c>
      <c r="E308" s="2" t="s">
        <v>1292</v>
      </c>
      <c r="F308" s="3">
        <v>8.451825539E9</v>
      </c>
      <c r="G308" s="2" t="s">
        <v>49</v>
      </c>
      <c r="H308" s="2" t="s">
        <v>79</v>
      </c>
      <c r="I308" s="2" t="s">
        <v>583</v>
      </c>
      <c r="J308" s="2" t="s">
        <v>46</v>
      </c>
    </row>
    <row r="309">
      <c r="A309" s="3">
        <v>90972.0</v>
      </c>
      <c r="B309" s="2" t="s">
        <v>1293</v>
      </c>
      <c r="C309" s="5">
        <v>46194.81841435185</v>
      </c>
      <c r="D309" s="2" t="s">
        <v>520</v>
      </c>
      <c r="E309" s="2" t="s">
        <v>1294</v>
      </c>
      <c r="F309" s="3">
        <v>7.411386767E9</v>
      </c>
      <c r="G309" s="2" t="s">
        <v>49</v>
      </c>
      <c r="H309" s="2" t="s">
        <v>87</v>
      </c>
      <c r="I309" s="2" t="s">
        <v>1295</v>
      </c>
      <c r="J309" s="2" t="s">
        <v>46</v>
      </c>
    </row>
    <row r="310">
      <c r="A310" s="3">
        <v>90973.0</v>
      </c>
      <c r="B310" s="2" t="s">
        <v>1296</v>
      </c>
      <c r="C310" s="5">
        <v>46194.89665509259</v>
      </c>
      <c r="D310" s="2" t="s">
        <v>520</v>
      </c>
      <c r="E310" s="2" t="s">
        <v>1297</v>
      </c>
      <c r="F310" s="3">
        <v>6.374470168E9</v>
      </c>
      <c r="G310" s="2" t="s">
        <v>49</v>
      </c>
      <c r="H310" s="2" t="s">
        <v>169</v>
      </c>
      <c r="I310" s="2" t="s">
        <v>773</v>
      </c>
      <c r="J310" s="2" t="s">
        <v>46</v>
      </c>
    </row>
    <row r="311">
      <c r="A311" s="3">
        <v>90974.0</v>
      </c>
      <c r="B311" s="2" t="s">
        <v>1298</v>
      </c>
      <c r="C311" s="5">
        <v>46194.97125</v>
      </c>
      <c r="D311" s="2" t="s">
        <v>529</v>
      </c>
      <c r="E311" s="2" t="s">
        <v>1299</v>
      </c>
      <c r="F311" s="3">
        <v>9.302912734E9</v>
      </c>
      <c r="G311" s="2" t="s">
        <v>49</v>
      </c>
      <c r="H311" s="2" t="s">
        <v>212</v>
      </c>
      <c r="I311" s="2" t="s">
        <v>350</v>
      </c>
      <c r="J311" s="2" t="s">
        <v>46</v>
      </c>
    </row>
    <row r="312">
      <c r="A312" s="3">
        <v>90975.0</v>
      </c>
      <c r="B312" s="2" t="s">
        <v>1300</v>
      </c>
      <c r="C312" s="5">
        <v>46194.978900462964</v>
      </c>
      <c r="D312" s="2" t="s">
        <v>529</v>
      </c>
      <c r="E312" s="2" t="s">
        <v>1301</v>
      </c>
      <c r="F312" s="3">
        <v>6.263208193E9</v>
      </c>
      <c r="G312" s="2" t="s">
        <v>49</v>
      </c>
      <c r="H312" s="2" t="s">
        <v>212</v>
      </c>
      <c r="I312" s="2" t="s">
        <v>350</v>
      </c>
      <c r="J312" s="2" t="s">
        <v>46</v>
      </c>
    </row>
    <row r="313">
      <c r="A313" s="3">
        <v>90976.0</v>
      </c>
      <c r="B313" s="2" t="s">
        <v>1302</v>
      </c>
      <c r="C313" s="5">
        <v>46195.04565972222</v>
      </c>
      <c r="D313" s="2" t="s">
        <v>520</v>
      </c>
      <c r="E313" s="2" t="s">
        <v>1303</v>
      </c>
      <c r="F313" s="3">
        <v>8.092334282E9</v>
      </c>
      <c r="G313" s="2" t="s">
        <v>49</v>
      </c>
      <c r="H313" s="2" t="s">
        <v>607</v>
      </c>
      <c r="I313" s="2" t="s">
        <v>1304</v>
      </c>
      <c r="J313" s="2" t="s">
        <v>46</v>
      </c>
    </row>
    <row r="314">
      <c r="A314" s="3">
        <v>90977.0</v>
      </c>
      <c r="B314" s="2" t="s">
        <v>1305</v>
      </c>
      <c r="C314" s="5">
        <v>46195.09506944445</v>
      </c>
      <c r="D314" s="2" t="s">
        <v>520</v>
      </c>
      <c r="E314" s="2" t="s">
        <v>1306</v>
      </c>
      <c r="F314" s="8">
        <v>1.2153E10</v>
      </c>
      <c r="G314" s="2" t="s">
        <v>127</v>
      </c>
      <c r="H314" s="2" t="s">
        <v>1307</v>
      </c>
      <c r="I314" s="2" t="s">
        <v>1308</v>
      </c>
      <c r="J314" s="2" t="s">
        <v>46</v>
      </c>
    </row>
    <row r="315">
      <c r="A315" s="3">
        <v>90978.0</v>
      </c>
      <c r="B315" s="2" t="s">
        <v>1309</v>
      </c>
      <c r="C315" s="5">
        <v>46195.28465277778</v>
      </c>
      <c r="D315" s="2" t="s">
        <v>520</v>
      </c>
      <c r="E315" s="2" t="s">
        <v>1310</v>
      </c>
      <c r="F315" s="2" t="s">
        <v>1311</v>
      </c>
      <c r="G315" s="2" t="s">
        <v>49</v>
      </c>
      <c r="H315" s="2" t="s">
        <v>76</v>
      </c>
      <c r="I315" s="2" t="s">
        <v>1312</v>
      </c>
      <c r="J315" s="2" t="s">
        <v>46</v>
      </c>
    </row>
    <row r="316">
      <c r="A316" s="3">
        <v>90979.0</v>
      </c>
      <c r="B316" s="2" t="s">
        <v>1313</v>
      </c>
      <c r="C316" s="5">
        <v>46195.356203703705</v>
      </c>
      <c r="D316" s="2" t="s">
        <v>529</v>
      </c>
      <c r="E316" s="2" t="s">
        <v>1314</v>
      </c>
      <c r="F316" s="3">
        <v>7.774890032E9</v>
      </c>
      <c r="G316" s="2" t="s">
        <v>49</v>
      </c>
      <c r="H316" s="2" t="s">
        <v>48</v>
      </c>
      <c r="I316" s="2" t="s">
        <v>551</v>
      </c>
      <c r="J316" s="2" t="s">
        <v>46</v>
      </c>
    </row>
    <row r="317">
      <c r="A317" s="3">
        <v>90980.0</v>
      </c>
      <c r="B317" s="2" t="s">
        <v>1315</v>
      </c>
      <c r="C317" s="5">
        <v>46195.38539351852</v>
      </c>
      <c r="D317" s="2" t="s">
        <v>520</v>
      </c>
      <c r="E317" s="2" t="s">
        <v>1316</v>
      </c>
      <c r="F317" s="3">
        <v>8.056142572E9</v>
      </c>
      <c r="G317" s="2" t="s">
        <v>49</v>
      </c>
      <c r="H317" s="2" t="s">
        <v>87</v>
      </c>
      <c r="I317" s="2" t="s">
        <v>86</v>
      </c>
      <c r="J317" s="2" t="s">
        <v>46</v>
      </c>
    </row>
    <row r="318">
      <c r="A318" s="3">
        <v>90981.0</v>
      </c>
      <c r="B318" s="2" t="s">
        <v>1317</v>
      </c>
      <c r="C318" s="5">
        <v>46195.42982638889</v>
      </c>
      <c r="D318" s="2" t="s">
        <v>520</v>
      </c>
      <c r="E318" s="2" t="s">
        <v>1318</v>
      </c>
      <c r="F318" s="3">
        <v>7.417359311E9</v>
      </c>
      <c r="G318" s="2" t="s">
        <v>49</v>
      </c>
      <c r="H318" s="2" t="s">
        <v>79</v>
      </c>
      <c r="I318" s="2" t="s">
        <v>1184</v>
      </c>
      <c r="J318" s="2" t="s">
        <v>46</v>
      </c>
    </row>
    <row r="319">
      <c r="A319" s="3">
        <v>90982.0</v>
      </c>
      <c r="B319" s="2" t="s">
        <v>1319</v>
      </c>
      <c r="C319" s="5">
        <v>46195.44598379629</v>
      </c>
      <c r="D319" s="2" t="s">
        <v>520</v>
      </c>
      <c r="E319" s="2" t="s">
        <v>1320</v>
      </c>
      <c r="F319" s="3">
        <v>9.098903784E9</v>
      </c>
      <c r="G319" s="2" t="s">
        <v>49</v>
      </c>
      <c r="H319" s="2" t="s">
        <v>680</v>
      </c>
      <c r="I319" s="2" t="s">
        <v>1321</v>
      </c>
      <c r="J319" s="2" t="s">
        <v>46</v>
      </c>
    </row>
    <row r="320">
      <c r="A320" s="3">
        <v>90983.0</v>
      </c>
      <c r="B320" s="2" t="s">
        <v>1322</v>
      </c>
      <c r="C320" s="5">
        <v>46195.454988425925</v>
      </c>
      <c r="D320" s="2" t="s">
        <v>529</v>
      </c>
      <c r="E320" s="2" t="s">
        <v>1323</v>
      </c>
      <c r="F320" s="3">
        <v>9.827477293E9</v>
      </c>
      <c r="G320" s="2" t="s">
        <v>49</v>
      </c>
      <c r="H320" s="2" t="s">
        <v>680</v>
      </c>
      <c r="I320" s="2" t="s">
        <v>1069</v>
      </c>
      <c r="J320" s="2" t="s">
        <v>46</v>
      </c>
    </row>
    <row r="321">
      <c r="A321" s="3">
        <v>90984.0</v>
      </c>
      <c r="B321" s="2" t="s">
        <v>1324</v>
      </c>
      <c r="C321" s="5">
        <v>46195.46506944444</v>
      </c>
      <c r="D321" s="2" t="s">
        <v>520</v>
      </c>
      <c r="E321" s="2" t="s">
        <v>1325</v>
      </c>
      <c r="F321" s="3">
        <v>9.704035065E9</v>
      </c>
      <c r="G321" s="2" t="s">
        <v>49</v>
      </c>
      <c r="H321" s="2" t="s">
        <v>194</v>
      </c>
      <c r="I321" s="2" t="s">
        <v>193</v>
      </c>
      <c r="J321" s="2" t="s">
        <v>46</v>
      </c>
    </row>
    <row r="322">
      <c r="A322" s="3">
        <v>90985.0</v>
      </c>
      <c r="B322" s="2" t="s">
        <v>1326</v>
      </c>
      <c r="C322" s="5">
        <v>46195.4687962963</v>
      </c>
      <c r="D322" s="2" t="s">
        <v>529</v>
      </c>
      <c r="E322" s="2" t="s">
        <v>1327</v>
      </c>
      <c r="F322" s="3">
        <v>6.294275951E9</v>
      </c>
      <c r="G322" s="2" t="s">
        <v>49</v>
      </c>
      <c r="H322" s="2" t="s">
        <v>65</v>
      </c>
      <c r="I322" s="2" t="s">
        <v>103</v>
      </c>
      <c r="J322" s="2" t="s">
        <v>46</v>
      </c>
    </row>
    <row r="323">
      <c r="A323" s="3">
        <v>90986.0</v>
      </c>
      <c r="B323" s="2" t="s">
        <v>1328</v>
      </c>
      <c r="C323" s="5">
        <v>46195.48385416667</v>
      </c>
      <c r="D323" s="2" t="s">
        <v>529</v>
      </c>
      <c r="E323" s="2" t="s">
        <v>1329</v>
      </c>
      <c r="F323" s="3">
        <v>6.591000594E9</v>
      </c>
      <c r="G323" s="2" t="s">
        <v>1330</v>
      </c>
      <c r="H323" s="2" t="s">
        <v>1330</v>
      </c>
      <c r="I323" s="2" t="s">
        <v>1330</v>
      </c>
      <c r="J323" s="2" t="s">
        <v>46</v>
      </c>
    </row>
    <row r="324">
      <c r="A324" s="3">
        <v>90987.0</v>
      </c>
      <c r="B324" s="2" t="s">
        <v>1331</v>
      </c>
      <c r="C324" s="5">
        <v>46195.50555555556</v>
      </c>
      <c r="D324" s="2" t="s">
        <v>520</v>
      </c>
      <c r="E324" s="2" t="s">
        <v>1332</v>
      </c>
      <c r="F324" s="3">
        <v>8.545849107E9</v>
      </c>
      <c r="G324" s="2" t="s">
        <v>49</v>
      </c>
      <c r="H324" s="2" t="s">
        <v>79</v>
      </c>
      <c r="I324" s="2" t="s">
        <v>1333</v>
      </c>
      <c r="J324" s="2" t="s">
        <v>46</v>
      </c>
    </row>
    <row r="325">
      <c r="A325" s="3">
        <v>90988.0</v>
      </c>
      <c r="B325" s="2" t="s">
        <v>1334</v>
      </c>
      <c r="C325" s="5">
        <v>46195.56630787037</v>
      </c>
      <c r="D325" s="2" t="s">
        <v>520</v>
      </c>
      <c r="E325" s="2" t="s">
        <v>1335</v>
      </c>
      <c r="F325" s="3">
        <v>9.035596049E9</v>
      </c>
      <c r="G325" s="2" t="s">
        <v>49</v>
      </c>
      <c r="H325" s="2" t="s">
        <v>87</v>
      </c>
      <c r="I325" s="2" t="s">
        <v>86</v>
      </c>
      <c r="J325" s="2" t="s">
        <v>46</v>
      </c>
    </row>
    <row r="326">
      <c r="A326" s="3">
        <v>90989.0</v>
      </c>
      <c r="B326" s="2" t="s">
        <v>1336</v>
      </c>
      <c r="C326" s="5">
        <v>46195.669907407406</v>
      </c>
      <c r="D326" s="2" t="s">
        <v>520</v>
      </c>
      <c r="E326" s="2" t="s">
        <v>1337</v>
      </c>
      <c r="F326" s="3">
        <v>9.529810806E9</v>
      </c>
      <c r="G326" s="2" t="s">
        <v>49</v>
      </c>
      <c r="H326" s="2" t="s">
        <v>48</v>
      </c>
      <c r="I326" s="2" t="s">
        <v>551</v>
      </c>
      <c r="J326" s="6"/>
      <c r="K326" s="6"/>
    </row>
    <row r="327">
      <c r="A327" s="3">
        <v>90990.0</v>
      </c>
      <c r="B327" s="2" t="s">
        <v>1338</v>
      </c>
      <c r="C327" s="5">
        <v>46195.6856712963</v>
      </c>
      <c r="D327" s="2" t="s">
        <v>520</v>
      </c>
      <c r="E327" s="2" t="s">
        <v>1339</v>
      </c>
      <c r="F327" s="3">
        <v>7.303390595E9</v>
      </c>
      <c r="G327" s="2" t="s">
        <v>49</v>
      </c>
      <c r="H327" s="2" t="s">
        <v>570</v>
      </c>
      <c r="I327" s="2" t="s">
        <v>782</v>
      </c>
      <c r="J327" s="2" t="s">
        <v>46</v>
      </c>
    </row>
    <row r="328">
      <c r="A328" s="3">
        <v>90991.0</v>
      </c>
      <c r="B328" s="2" t="s">
        <v>1340</v>
      </c>
      <c r="C328" s="5">
        <v>46195.71019675926</v>
      </c>
      <c r="D328" s="2" t="s">
        <v>529</v>
      </c>
      <c r="E328" s="2" t="s">
        <v>1341</v>
      </c>
      <c r="F328" s="3">
        <v>7.980863347E9</v>
      </c>
      <c r="G328" s="2" t="s">
        <v>49</v>
      </c>
      <c r="H328" s="2" t="s">
        <v>76</v>
      </c>
      <c r="I328" s="2" t="s">
        <v>376</v>
      </c>
      <c r="J328" s="2" t="s">
        <v>46</v>
      </c>
    </row>
    <row r="329">
      <c r="A329" s="3">
        <v>90992.0</v>
      </c>
      <c r="B329" s="2" t="s">
        <v>1342</v>
      </c>
      <c r="C329" s="5">
        <v>46195.71299768519</v>
      </c>
      <c r="D329" s="2" t="s">
        <v>529</v>
      </c>
      <c r="E329" s="2" t="s">
        <v>1343</v>
      </c>
      <c r="F329" s="3">
        <v>9.962345088E9</v>
      </c>
      <c r="G329" s="2" t="s">
        <v>49</v>
      </c>
      <c r="H329" s="2" t="s">
        <v>87</v>
      </c>
      <c r="I329" s="2" t="s">
        <v>86</v>
      </c>
      <c r="J329" s="2" t="s">
        <v>46</v>
      </c>
    </row>
    <row r="330">
      <c r="A330" s="3">
        <v>90993.0</v>
      </c>
      <c r="B330" s="2" t="s">
        <v>1344</v>
      </c>
      <c r="C330" s="5">
        <v>46195.73454861111</v>
      </c>
      <c r="D330" s="2" t="s">
        <v>520</v>
      </c>
      <c r="E330" s="2" t="s">
        <v>1345</v>
      </c>
      <c r="F330" s="3">
        <v>8.76259153E9</v>
      </c>
      <c r="G330" s="2" t="s">
        <v>49</v>
      </c>
      <c r="H330" s="2" t="s">
        <v>87</v>
      </c>
      <c r="I330" s="2" t="s">
        <v>86</v>
      </c>
      <c r="J330" s="2" t="s">
        <v>46</v>
      </c>
    </row>
    <row r="331">
      <c r="A331" s="3">
        <v>90994.0</v>
      </c>
      <c r="B331" s="2" t="s">
        <v>1346</v>
      </c>
      <c r="C331" s="5">
        <v>46195.73784722222</v>
      </c>
      <c r="D331" s="2" t="s">
        <v>520</v>
      </c>
      <c r="E331" s="2" t="s">
        <v>1347</v>
      </c>
      <c r="F331" s="3">
        <v>9.892696173E9</v>
      </c>
      <c r="G331" s="2" t="s">
        <v>49</v>
      </c>
      <c r="H331" s="2" t="s">
        <v>48</v>
      </c>
      <c r="I331" s="2" t="s">
        <v>47</v>
      </c>
      <c r="J331" s="2" t="s">
        <v>46</v>
      </c>
    </row>
    <row r="332">
      <c r="A332" s="3">
        <v>90995.0</v>
      </c>
      <c r="B332" s="2" t="s">
        <v>1348</v>
      </c>
      <c r="C332" s="5">
        <v>46195.811203703706</v>
      </c>
      <c r="D332" s="2" t="s">
        <v>520</v>
      </c>
      <c r="E332" s="2" t="s">
        <v>1349</v>
      </c>
      <c r="F332" s="8">
        <v>1.3315E10</v>
      </c>
      <c r="G332" s="2" t="s">
        <v>127</v>
      </c>
      <c r="H332" s="2" t="s">
        <v>1350</v>
      </c>
      <c r="I332" s="2" t="s">
        <v>1351</v>
      </c>
      <c r="J332" s="2" t="s">
        <v>46</v>
      </c>
    </row>
    <row r="333">
      <c r="A333" s="3">
        <v>90996.0</v>
      </c>
      <c r="B333" s="2" t="s">
        <v>1352</v>
      </c>
      <c r="C333" s="5">
        <v>46195.82021990741</v>
      </c>
      <c r="D333" s="2" t="s">
        <v>529</v>
      </c>
      <c r="E333" s="2" t="s">
        <v>1353</v>
      </c>
      <c r="F333" s="3">
        <v>9.676550425E9</v>
      </c>
      <c r="G333" s="2" t="s">
        <v>49</v>
      </c>
      <c r="H333" s="2" t="s">
        <v>87</v>
      </c>
      <c r="I333" s="2" t="s">
        <v>86</v>
      </c>
      <c r="J333" s="2" t="s">
        <v>46</v>
      </c>
    </row>
    <row r="334">
      <c r="A334" s="3">
        <v>90997.0</v>
      </c>
      <c r="B334" s="2" t="s">
        <v>1354</v>
      </c>
      <c r="C334" s="5">
        <v>46195.9037962963</v>
      </c>
      <c r="D334" s="2" t="s">
        <v>520</v>
      </c>
      <c r="E334" s="2" t="s">
        <v>1355</v>
      </c>
      <c r="F334" s="3">
        <v>6.47200247E9</v>
      </c>
      <c r="G334" s="2" t="s">
        <v>626</v>
      </c>
      <c r="H334" s="2" t="s">
        <v>627</v>
      </c>
      <c r="I334" s="2" t="s">
        <v>1356</v>
      </c>
      <c r="J334" s="2" t="s">
        <v>46</v>
      </c>
    </row>
    <row r="335">
      <c r="A335" s="3">
        <v>90998.0</v>
      </c>
      <c r="B335" s="2" t="s">
        <v>1357</v>
      </c>
      <c r="C335" s="5">
        <v>46195.92359953704</v>
      </c>
      <c r="D335" s="2" t="s">
        <v>520</v>
      </c>
      <c r="E335" s="2" t="s">
        <v>1358</v>
      </c>
      <c r="F335" s="6" t="str">
        <f>+91 90415 17602</f>
        <v>#ERROR!</v>
      </c>
      <c r="G335" s="2" t="s">
        <v>49</v>
      </c>
      <c r="H335" s="2" t="s">
        <v>224</v>
      </c>
      <c r="I335" s="2" t="s">
        <v>1359</v>
      </c>
      <c r="J335" s="2" t="s">
        <v>46</v>
      </c>
    </row>
    <row r="336">
      <c r="A336" s="3">
        <v>90999.0</v>
      </c>
      <c r="B336" s="2" t="s">
        <v>1360</v>
      </c>
      <c r="C336" s="5">
        <v>46195.95202546296</v>
      </c>
      <c r="D336" s="2" t="s">
        <v>520</v>
      </c>
      <c r="E336" s="2" t="s">
        <v>1361</v>
      </c>
      <c r="F336" s="3">
        <v>6.28334364E9</v>
      </c>
      <c r="G336" s="2" t="s">
        <v>49</v>
      </c>
      <c r="H336" s="2" t="s">
        <v>534</v>
      </c>
      <c r="I336" s="2" t="s">
        <v>534</v>
      </c>
      <c r="J336" s="2" t="s">
        <v>46</v>
      </c>
    </row>
    <row r="337">
      <c r="A337" s="3">
        <v>91000.0</v>
      </c>
      <c r="B337" s="2" t="s">
        <v>1362</v>
      </c>
      <c r="C337" s="5">
        <v>46196.03076388889</v>
      </c>
      <c r="D337" s="2" t="s">
        <v>520</v>
      </c>
      <c r="E337" s="2" t="s">
        <v>1363</v>
      </c>
      <c r="F337" s="3">
        <v>9.609993261E9</v>
      </c>
      <c r="G337" s="2" t="s">
        <v>49</v>
      </c>
      <c r="H337" s="2" t="s">
        <v>79</v>
      </c>
      <c r="I337" s="2" t="s">
        <v>874</v>
      </c>
      <c r="J337" s="2" t="s">
        <v>46</v>
      </c>
    </row>
    <row r="338">
      <c r="A338" s="3">
        <v>91001.0</v>
      </c>
      <c r="B338" s="2" t="s">
        <v>1364</v>
      </c>
      <c r="C338" s="5">
        <v>46196.37262731481</v>
      </c>
      <c r="D338" s="2" t="s">
        <v>520</v>
      </c>
      <c r="E338" s="2" t="s">
        <v>1365</v>
      </c>
      <c r="F338" s="3">
        <v>8.910992565E9</v>
      </c>
      <c r="G338" s="2" t="s">
        <v>49</v>
      </c>
      <c r="H338" s="2" t="s">
        <v>48</v>
      </c>
      <c r="I338" s="2" t="s">
        <v>551</v>
      </c>
      <c r="J338" s="2" t="s">
        <v>46</v>
      </c>
    </row>
    <row r="339">
      <c r="A339" s="3">
        <v>91002.0</v>
      </c>
      <c r="B339" s="2" t="s">
        <v>1366</v>
      </c>
      <c r="C339" s="5">
        <v>46196.50712962963</v>
      </c>
      <c r="D339" s="2" t="s">
        <v>529</v>
      </c>
      <c r="E339" s="2" t="s">
        <v>1367</v>
      </c>
      <c r="F339" s="3">
        <v>9.883178416E9</v>
      </c>
      <c r="G339" s="2" t="s">
        <v>49</v>
      </c>
      <c r="H339" s="2" t="s">
        <v>65</v>
      </c>
      <c r="I339" s="2" t="s">
        <v>103</v>
      </c>
      <c r="J339" s="2" t="s">
        <v>46</v>
      </c>
    </row>
    <row r="340">
      <c r="A340" s="3">
        <v>91003.0</v>
      </c>
      <c r="B340" s="2" t="s">
        <v>1368</v>
      </c>
      <c r="C340" s="5">
        <v>46196.52719907407</v>
      </c>
      <c r="D340" s="2" t="s">
        <v>520</v>
      </c>
      <c r="E340" s="2" t="s">
        <v>1369</v>
      </c>
      <c r="F340" s="3">
        <v>8.368096007E9</v>
      </c>
      <c r="G340" s="2" t="s">
        <v>49</v>
      </c>
      <c r="H340" s="2" t="s">
        <v>570</v>
      </c>
      <c r="I340" s="2" t="s">
        <v>782</v>
      </c>
      <c r="J340" s="2" t="s">
        <v>46</v>
      </c>
    </row>
    <row r="341">
      <c r="A341" s="3">
        <v>91004.0</v>
      </c>
      <c r="B341" s="2" t="s">
        <v>1370</v>
      </c>
      <c r="C341" s="5">
        <v>46196.52956018518</v>
      </c>
      <c r="D341" s="2" t="s">
        <v>520</v>
      </c>
      <c r="E341" s="2" t="s">
        <v>1371</v>
      </c>
      <c r="F341" s="3">
        <v>8.110002222E9</v>
      </c>
      <c r="G341" s="2" t="s">
        <v>49</v>
      </c>
      <c r="H341" s="2" t="s">
        <v>169</v>
      </c>
      <c r="I341" s="2" t="s">
        <v>1372</v>
      </c>
      <c r="J341" s="2" t="s">
        <v>46</v>
      </c>
    </row>
    <row r="342">
      <c r="A342" s="3">
        <v>91005.0</v>
      </c>
      <c r="B342" s="2" t="s">
        <v>1373</v>
      </c>
      <c r="C342" s="5">
        <v>46196.530185185184</v>
      </c>
      <c r="D342" s="2" t="s">
        <v>529</v>
      </c>
      <c r="E342" s="2" t="s">
        <v>1374</v>
      </c>
      <c r="F342" s="3">
        <v>9.677868996E9</v>
      </c>
      <c r="G342" s="2" t="s">
        <v>49</v>
      </c>
      <c r="H342" s="2" t="s">
        <v>169</v>
      </c>
      <c r="I342" s="2" t="s">
        <v>1375</v>
      </c>
      <c r="J342" s="2" t="s">
        <v>46</v>
      </c>
    </row>
    <row r="343">
      <c r="A343" s="3">
        <v>91006.0</v>
      </c>
      <c r="B343" s="2" t="s">
        <v>1376</v>
      </c>
      <c r="C343" s="5">
        <v>46196.54798611111</v>
      </c>
      <c r="D343" s="2" t="s">
        <v>520</v>
      </c>
      <c r="E343" s="2" t="s">
        <v>1377</v>
      </c>
      <c r="F343" s="6" t="str">
        <f>+91 7303058679</f>
        <v>#ERROR!</v>
      </c>
      <c r="G343" s="2" t="s">
        <v>49</v>
      </c>
      <c r="H343" s="2" t="s">
        <v>79</v>
      </c>
      <c r="I343" s="2" t="s">
        <v>583</v>
      </c>
      <c r="J343" s="2" t="s">
        <v>46</v>
      </c>
    </row>
    <row r="344">
      <c r="A344" s="3">
        <v>91007.0</v>
      </c>
      <c r="B344" s="2" t="s">
        <v>1378</v>
      </c>
      <c r="C344" s="5">
        <v>46196.62813657407</v>
      </c>
      <c r="D344" s="2" t="s">
        <v>520</v>
      </c>
      <c r="E344" s="2" t="s">
        <v>1379</v>
      </c>
      <c r="F344" s="8">
        <v>9.1982E11</v>
      </c>
      <c r="G344" s="2" t="s">
        <v>49</v>
      </c>
      <c r="H344" s="2" t="s">
        <v>570</v>
      </c>
      <c r="I344" s="2" t="s">
        <v>782</v>
      </c>
      <c r="J344" s="2" t="s">
        <v>46</v>
      </c>
    </row>
    <row r="345">
      <c r="A345" s="3">
        <v>91008.0</v>
      </c>
      <c r="B345" s="2" t="s">
        <v>1380</v>
      </c>
      <c r="C345" s="5">
        <v>46196.74894675926</v>
      </c>
      <c r="D345" s="2" t="s">
        <v>520</v>
      </c>
      <c r="E345" s="2" t="s">
        <v>1381</v>
      </c>
      <c r="F345" s="3">
        <v>1.779076858E9</v>
      </c>
      <c r="G345" s="2" t="s">
        <v>1382</v>
      </c>
      <c r="H345" s="2" t="s">
        <v>1383</v>
      </c>
      <c r="I345" s="2" t="s">
        <v>1384</v>
      </c>
      <c r="J345" s="2" t="s">
        <v>46</v>
      </c>
    </row>
    <row r="346">
      <c r="A346" s="3">
        <v>91009.0</v>
      </c>
      <c r="B346" s="2" t="s">
        <v>1385</v>
      </c>
      <c r="C346" s="5">
        <v>46196.77717592593</v>
      </c>
      <c r="D346" s="2" t="s">
        <v>520</v>
      </c>
      <c r="E346" s="2" t="s">
        <v>1386</v>
      </c>
      <c r="F346" s="3">
        <v>7.827285022E9</v>
      </c>
      <c r="G346" s="2" t="s">
        <v>49</v>
      </c>
      <c r="H346" s="2" t="s">
        <v>570</v>
      </c>
      <c r="I346" s="2" t="s">
        <v>570</v>
      </c>
      <c r="J346" s="2" t="s">
        <v>46</v>
      </c>
    </row>
    <row r="347">
      <c r="A347" s="3">
        <v>91010.0</v>
      </c>
      <c r="B347" s="2" t="s">
        <v>1387</v>
      </c>
      <c r="C347" s="5">
        <v>46197.27982638889</v>
      </c>
      <c r="D347" s="2" t="s">
        <v>520</v>
      </c>
      <c r="E347" s="2" t="s">
        <v>1388</v>
      </c>
      <c r="F347" s="3">
        <v>8.372052539E9</v>
      </c>
      <c r="G347" s="2" t="s">
        <v>49</v>
      </c>
      <c r="H347" s="2" t="s">
        <v>65</v>
      </c>
      <c r="I347" s="2" t="s">
        <v>1389</v>
      </c>
      <c r="J347" s="2" t="s">
        <v>46</v>
      </c>
    </row>
    <row r="348">
      <c r="A348" s="3">
        <v>91011.0</v>
      </c>
      <c r="B348" s="2" t="s">
        <v>1390</v>
      </c>
      <c r="C348" s="5">
        <v>46197.396574074075</v>
      </c>
      <c r="D348" s="2" t="s">
        <v>529</v>
      </c>
      <c r="E348" s="2" t="s">
        <v>1391</v>
      </c>
      <c r="F348" s="3">
        <v>8.617598188E9</v>
      </c>
      <c r="G348" s="2" t="s">
        <v>49</v>
      </c>
      <c r="H348" s="2" t="s">
        <v>65</v>
      </c>
      <c r="I348" s="2" t="s">
        <v>199</v>
      </c>
      <c r="J348" s="2" t="s">
        <v>46</v>
      </c>
    </row>
    <row r="349">
      <c r="A349" s="3">
        <v>91012.0</v>
      </c>
      <c r="B349" s="2" t="s">
        <v>1392</v>
      </c>
      <c r="C349" s="5">
        <v>46197.406747685185</v>
      </c>
      <c r="D349" s="2" t="s">
        <v>520</v>
      </c>
      <c r="E349" s="2" t="s">
        <v>1393</v>
      </c>
      <c r="F349" s="3">
        <v>8.279721772E9</v>
      </c>
      <c r="G349" s="2" t="s">
        <v>49</v>
      </c>
      <c r="H349" s="2" t="s">
        <v>79</v>
      </c>
      <c r="I349" s="2" t="s">
        <v>1394</v>
      </c>
      <c r="J349" s="2" t="s">
        <v>46</v>
      </c>
    </row>
    <row r="350">
      <c r="A350" s="3">
        <v>91013.0</v>
      </c>
      <c r="B350" s="2" t="s">
        <v>1395</v>
      </c>
      <c r="C350" s="5">
        <v>46197.42563657407</v>
      </c>
      <c r="D350" s="2" t="s">
        <v>520</v>
      </c>
      <c r="E350" s="2" t="s">
        <v>1396</v>
      </c>
      <c r="F350" s="3">
        <v>7.500282078E9</v>
      </c>
      <c r="G350" s="2" t="s">
        <v>49</v>
      </c>
      <c r="H350" s="2" t="s">
        <v>87</v>
      </c>
      <c r="I350" s="2" t="s">
        <v>86</v>
      </c>
      <c r="J350" s="2" t="s">
        <v>46</v>
      </c>
    </row>
    <row r="351">
      <c r="A351" s="3">
        <v>91014.0</v>
      </c>
      <c r="B351" s="2" t="s">
        <v>1397</v>
      </c>
      <c r="C351" s="5">
        <v>46197.46071759259</v>
      </c>
      <c r="D351" s="2" t="s">
        <v>520</v>
      </c>
      <c r="E351" s="2" t="s">
        <v>1398</v>
      </c>
      <c r="F351" s="3">
        <v>7.66765256E9</v>
      </c>
      <c r="G351" s="2" t="s">
        <v>49</v>
      </c>
      <c r="H351" s="2" t="s">
        <v>119</v>
      </c>
      <c r="I351" s="2" t="s">
        <v>118</v>
      </c>
      <c r="J351" s="2" t="s">
        <v>46</v>
      </c>
    </row>
    <row r="352">
      <c r="A352" s="3">
        <v>91015.0</v>
      </c>
      <c r="B352" s="2" t="s">
        <v>1399</v>
      </c>
      <c r="C352" s="5">
        <v>46197.47289351852</v>
      </c>
      <c r="D352" s="2" t="s">
        <v>520</v>
      </c>
      <c r="E352" s="2" t="s">
        <v>1400</v>
      </c>
      <c r="F352" s="3">
        <v>8.800094787E9</v>
      </c>
      <c r="G352" s="2" t="s">
        <v>49</v>
      </c>
      <c r="H352" s="2" t="s">
        <v>570</v>
      </c>
      <c r="I352" s="2" t="s">
        <v>782</v>
      </c>
      <c r="J352" s="2" t="s">
        <v>46</v>
      </c>
    </row>
    <row r="353">
      <c r="A353" s="3">
        <v>91016.0</v>
      </c>
      <c r="B353" s="2" t="s">
        <v>1401</v>
      </c>
      <c r="C353" s="5">
        <v>46197.51052083333</v>
      </c>
      <c r="D353" s="2" t="s">
        <v>529</v>
      </c>
      <c r="E353" s="2" t="s">
        <v>1402</v>
      </c>
      <c r="F353" s="3">
        <v>9.508810071E9</v>
      </c>
      <c r="G353" s="2" t="s">
        <v>49</v>
      </c>
      <c r="H353" s="2" t="s">
        <v>79</v>
      </c>
      <c r="I353" s="2" t="s">
        <v>874</v>
      </c>
      <c r="J353" s="2" t="s">
        <v>46</v>
      </c>
    </row>
    <row r="354">
      <c r="A354" s="3">
        <v>91017.0</v>
      </c>
      <c r="B354" s="2" t="s">
        <v>1403</v>
      </c>
      <c r="C354" s="5">
        <v>46197.51322916667</v>
      </c>
      <c r="D354" s="2" t="s">
        <v>529</v>
      </c>
      <c r="E354" s="2" t="s">
        <v>1404</v>
      </c>
      <c r="F354" s="3">
        <v>9.779940722E9</v>
      </c>
      <c r="G354" s="2" t="s">
        <v>49</v>
      </c>
      <c r="H354" s="2" t="s">
        <v>224</v>
      </c>
      <c r="I354" s="2" t="s">
        <v>792</v>
      </c>
      <c r="J354" s="2" t="s">
        <v>46</v>
      </c>
    </row>
    <row r="355">
      <c r="A355" s="3">
        <v>91018.0</v>
      </c>
      <c r="B355" s="2" t="s">
        <v>1405</v>
      </c>
      <c r="C355" s="5">
        <v>46197.603946759256</v>
      </c>
      <c r="D355" s="2" t="s">
        <v>529</v>
      </c>
      <c r="E355" s="2" t="s">
        <v>1406</v>
      </c>
      <c r="F355" s="3">
        <v>9.423878768E9</v>
      </c>
      <c r="G355" s="2" t="s">
        <v>49</v>
      </c>
      <c r="H355" s="2" t="s">
        <v>48</v>
      </c>
      <c r="I355" s="2" t="s">
        <v>551</v>
      </c>
      <c r="J355" s="6"/>
      <c r="K355" s="6"/>
    </row>
    <row r="356">
      <c r="A356" s="3">
        <v>91019.0</v>
      </c>
      <c r="B356" s="2" t="s">
        <v>1407</v>
      </c>
      <c r="C356" s="5">
        <v>46197.631273148145</v>
      </c>
      <c r="D356" s="2" t="s">
        <v>529</v>
      </c>
      <c r="E356" s="2" t="s">
        <v>1408</v>
      </c>
      <c r="F356" s="3">
        <v>8.789562586E9</v>
      </c>
      <c r="G356" s="2" t="s">
        <v>49</v>
      </c>
      <c r="H356" s="2" t="s">
        <v>607</v>
      </c>
      <c r="I356" s="2" t="s">
        <v>1409</v>
      </c>
      <c r="J356" s="2" t="s">
        <v>46</v>
      </c>
    </row>
    <row r="357">
      <c r="A357" s="3">
        <v>91020.0</v>
      </c>
      <c r="B357" s="2" t="s">
        <v>1410</v>
      </c>
      <c r="C357" s="5">
        <v>46197.75722222222</v>
      </c>
      <c r="D357" s="2" t="s">
        <v>520</v>
      </c>
      <c r="E357" s="2" t="s">
        <v>1411</v>
      </c>
      <c r="F357" s="3">
        <v>9.552110021E9</v>
      </c>
      <c r="G357" s="2" t="s">
        <v>49</v>
      </c>
      <c r="H357" s="2" t="s">
        <v>48</v>
      </c>
      <c r="I357" s="2" t="s">
        <v>1412</v>
      </c>
      <c r="J357" s="2" t="s">
        <v>46</v>
      </c>
    </row>
    <row r="358">
      <c r="A358" s="3">
        <v>91021.0</v>
      </c>
      <c r="B358" s="2" t="s">
        <v>1413</v>
      </c>
      <c r="C358" s="5">
        <v>46197.82303240741</v>
      </c>
      <c r="D358" s="2" t="s">
        <v>520</v>
      </c>
      <c r="E358" s="2" t="s">
        <v>1414</v>
      </c>
      <c r="F358" s="3">
        <v>9.654290952E9</v>
      </c>
      <c r="G358" s="2" t="s">
        <v>49</v>
      </c>
      <c r="H358" s="2" t="s">
        <v>570</v>
      </c>
      <c r="I358" s="2" t="s">
        <v>782</v>
      </c>
      <c r="J358" s="2" t="s">
        <v>46</v>
      </c>
    </row>
    <row r="359">
      <c r="A359" s="3">
        <v>91022.0</v>
      </c>
      <c r="B359" s="2" t="s">
        <v>1415</v>
      </c>
      <c r="C359" s="5">
        <v>46197.827685185184</v>
      </c>
      <c r="D359" s="2" t="s">
        <v>520</v>
      </c>
      <c r="E359" s="2" t="s">
        <v>1416</v>
      </c>
      <c r="F359" s="3">
        <v>6.283765338E9</v>
      </c>
      <c r="G359" s="2" t="s">
        <v>49</v>
      </c>
      <c r="H359" s="2" t="s">
        <v>76</v>
      </c>
      <c r="I359" s="2" t="s">
        <v>1417</v>
      </c>
      <c r="J359" s="2" t="s">
        <v>46</v>
      </c>
    </row>
    <row r="360">
      <c r="A360" s="3">
        <v>91023.0</v>
      </c>
      <c r="B360" s="2" t="s">
        <v>1418</v>
      </c>
      <c r="C360" s="5">
        <v>46198.037835648145</v>
      </c>
      <c r="D360" s="2" t="s">
        <v>529</v>
      </c>
      <c r="E360" s="2" t="s">
        <v>1419</v>
      </c>
      <c r="F360" s="3">
        <v>8.104555681E9</v>
      </c>
      <c r="G360" s="2" t="s">
        <v>49</v>
      </c>
      <c r="H360" s="2" t="s">
        <v>119</v>
      </c>
      <c r="I360" s="2" t="s">
        <v>118</v>
      </c>
      <c r="J360" s="2" t="s">
        <v>46</v>
      </c>
    </row>
    <row r="361">
      <c r="A361" s="3">
        <v>91024.0</v>
      </c>
      <c r="B361" s="2" t="s">
        <v>1420</v>
      </c>
      <c r="C361" s="5">
        <v>46198.44337962963</v>
      </c>
      <c r="D361" s="2" t="s">
        <v>520</v>
      </c>
      <c r="E361" s="2" t="s">
        <v>1421</v>
      </c>
      <c r="F361" s="3">
        <v>7.999724966E9</v>
      </c>
      <c r="G361" s="2" t="s">
        <v>49</v>
      </c>
      <c r="H361" s="2" t="s">
        <v>212</v>
      </c>
      <c r="I361" s="2" t="s">
        <v>911</v>
      </c>
      <c r="J361" s="2" t="s">
        <v>46</v>
      </c>
    </row>
    <row r="362">
      <c r="A362" s="3">
        <v>91025.0</v>
      </c>
      <c r="B362" s="2" t="s">
        <v>1422</v>
      </c>
      <c r="C362" s="5">
        <v>46198.51505787037</v>
      </c>
      <c r="D362" s="2" t="s">
        <v>529</v>
      </c>
      <c r="E362" s="2" t="s">
        <v>1423</v>
      </c>
      <c r="F362" s="3">
        <v>6.204965124E9</v>
      </c>
      <c r="G362" s="2" t="s">
        <v>49</v>
      </c>
      <c r="H362" s="2" t="s">
        <v>570</v>
      </c>
      <c r="I362" s="2" t="s">
        <v>782</v>
      </c>
      <c r="J362" s="2" t="s">
        <v>46</v>
      </c>
    </row>
    <row r="363">
      <c r="A363" s="3">
        <v>91026.0</v>
      </c>
      <c r="B363" s="2" t="s">
        <v>1424</v>
      </c>
      <c r="C363" s="5">
        <v>46198.52427083333</v>
      </c>
      <c r="D363" s="2" t="s">
        <v>520</v>
      </c>
      <c r="E363" s="2" t="s">
        <v>1425</v>
      </c>
      <c r="F363" s="3">
        <v>9.901500289E9</v>
      </c>
      <c r="G363" s="2" t="s">
        <v>49</v>
      </c>
      <c r="H363" s="2" t="s">
        <v>287</v>
      </c>
      <c r="I363" s="2" t="s">
        <v>1426</v>
      </c>
      <c r="J363" s="2" t="s">
        <v>46</v>
      </c>
    </row>
    <row r="364">
      <c r="A364" s="3">
        <v>91027.0</v>
      </c>
      <c r="B364" s="2" t="s">
        <v>1427</v>
      </c>
      <c r="C364" s="5">
        <v>46198.68876157407</v>
      </c>
      <c r="D364" s="2" t="s">
        <v>520</v>
      </c>
      <c r="E364" s="2" t="s">
        <v>1428</v>
      </c>
      <c r="F364" s="3">
        <v>7.016797076E9</v>
      </c>
      <c r="G364" s="2" t="s">
        <v>49</v>
      </c>
      <c r="H364" s="2" t="s">
        <v>672</v>
      </c>
      <c r="I364" s="2" t="s">
        <v>1429</v>
      </c>
      <c r="J364" s="2" t="s">
        <v>46</v>
      </c>
    </row>
    <row r="365">
      <c r="A365" s="3">
        <v>91028.0</v>
      </c>
      <c r="B365" s="2" t="s">
        <v>1430</v>
      </c>
      <c r="C365" s="5">
        <v>46198.765185185184</v>
      </c>
      <c r="D365" s="2" t="s">
        <v>520</v>
      </c>
      <c r="E365" s="2" t="s">
        <v>1431</v>
      </c>
      <c r="F365" s="3">
        <v>9.999208873E9</v>
      </c>
      <c r="G365" s="2" t="s">
        <v>49</v>
      </c>
      <c r="H365" s="2" t="s">
        <v>570</v>
      </c>
      <c r="I365" s="2" t="s">
        <v>570</v>
      </c>
      <c r="J365" s="2" t="s">
        <v>46</v>
      </c>
    </row>
    <row r="366">
      <c r="A366" s="3">
        <v>91029.0</v>
      </c>
      <c r="B366" s="2" t="s">
        <v>1432</v>
      </c>
      <c r="C366" s="5">
        <v>46198.83715277778</v>
      </c>
      <c r="D366" s="2" t="s">
        <v>520</v>
      </c>
      <c r="E366" s="2" t="s">
        <v>1433</v>
      </c>
      <c r="F366" s="3">
        <v>8.135931127E9</v>
      </c>
      <c r="G366" s="2" t="s">
        <v>49</v>
      </c>
      <c r="H366" s="2" t="s">
        <v>65</v>
      </c>
      <c r="I366" s="2" t="s">
        <v>1434</v>
      </c>
      <c r="J366" s="2" t="s">
        <v>46</v>
      </c>
    </row>
    <row r="367">
      <c r="A367" s="3">
        <v>91030.0</v>
      </c>
      <c r="B367" s="2" t="s">
        <v>1435</v>
      </c>
      <c r="C367" s="5">
        <v>46198.900347222225</v>
      </c>
      <c r="D367" s="2" t="s">
        <v>520</v>
      </c>
      <c r="E367" s="2" t="s">
        <v>1436</v>
      </c>
      <c r="F367" s="3">
        <v>8.45791528E9</v>
      </c>
      <c r="G367" s="2" t="s">
        <v>49</v>
      </c>
      <c r="H367" s="2" t="s">
        <v>307</v>
      </c>
      <c r="I367" s="2" t="s">
        <v>1437</v>
      </c>
      <c r="J367" s="2" t="s">
        <v>46</v>
      </c>
    </row>
    <row r="368">
      <c r="A368" s="3">
        <v>91031.0</v>
      </c>
      <c r="B368" s="2" t="s">
        <v>1438</v>
      </c>
      <c r="C368" s="5">
        <v>46199.02196759259</v>
      </c>
      <c r="D368" s="2" t="s">
        <v>520</v>
      </c>
      <c r="E368" s="2" t="s">
        <v>1439</v>
      </c>
      <c r="F368" s="3">
        <v>7.697421884E9</v>
      </c>
      <c r="G368" s="2" t="s">
        <v>49</v>
      </c>
      <c r="H368" s="2" t="s">
        <v>76</v>
      </c>
      <c r="I368" s="2" t="s">
        <v>376</v>
      </c>
      <c r="J368" s="2" t="s">
        <v>46</v>
      </c>
    </row>
    <row r="369">
      <c r="A369" s="3">
        <v>91032.0</v>
      </c>
      <c r="B369" s="2" t="s">
        <v>1440</v>
      </c>
      <c r="C369" s="5">
        <v>46199.64474537037</v>
      </c>
      <c r="E369" s="2" t="s">
        <v>1441</v>
      </c>
      <c r="F369" s="3">
        <v>7.568991501E9</v>
      </c>
      <c r="G369" s="6"/>
      <c r="H369" s="6"/>
      <c r="I369" s="6"/>
      <c r="J369" s="2" t="s">
        <v>1440</v>
      </c>
    </row>
    <row r="370">
      <c r="A370" s="3">
        <v>91033.0</v>
      </c>
      <c r="B370" s="2" t="s">
        <v>1442</v>
      </c>
      <c r="C370" s="5">
        <v>46199.754479166666</v>
      </c>
      <c r="D370" s="2" t="s">
        <v>520</v>
      </c>
      <c r="E370" s="2" t="s">
        <v>1443</v>
      </c>
      <c r="F370" s="3">
        <v>9.904403643E9</v>
      </c>
      <c r="G370" s="2" t="s">
        <v>49</v>
      </c>
      <c r="H370" s="2" t="s">
        <v>570</v>
      </c>
      <c r="I370" s="2" t="s">
        <v>570</v>
      </c>
      <c r="J370" s="2" t="s">
        <v>46</v>
      </c>
    </row>
    <row r="371">
      <c r="A371" s="3">
        <v>91034.0</v>
      </c>
      <c r="B371" s="2" t="s">
        <v>1444</v>
      </c>
      <c r="C371" s="5">
        <v>46199.759988425925</v>
      </c>
      <c r="D371" s="2" t="s">
        <v>529</v>
      </c>
      <c r="E371" s="2" t="s">
        <v>1445</v>
      </c>
      <c r="F371" s="3">
        <v>8.26983954E9</v>
      </c>
      <c r="G371" s="2" t="s">
        <v>49</v>
      </c>
      <c r="H371" s="2" t="s">
        <v>212</v>
      </c>
      <c r="I371" s="2" t="s">
        <v>1446</v>
      </c>
      <c r="J371" s="2" t="s">
        <v>46</v>
      </c>
    </row>
    <row r="372">
      <c r="A372" s="3">
        <v>91035.0</v>
      </c>
      <c r="B372" s="2" t="s">
        <v>1447</v>
      </c>
      <c r="C372" s="5">
        <v>46199.81180555555</v>
      </c>
      <c r="D372" s="2" t="s">
        <v>520</v>
      </c>
      <c r="E372" s="2" t="s">
        <v>1448</v>
      </c>
      <c r="F372" s="3">
        <v>9.236697003E9</v>
      </c>
      <c r="G372" s="2" t="s">
        <v>49</v>
      </c>
      <c r="H372" s="2" t="s">
        <v>79</v>
      </c>
      <c r="I372" s="2" t="s">
        <v>1449</v>
      </c>
      <c r="J372" s="2" t="s">
        <v>46</v>
      </c>
    </row>
    <row r="373">
      <c r="A373" s="3">
        <v>91036.0</v>
      </c>
      <c r="B373" s="2" t="s">
        <v>1450</v>
      </c>
      <c r="C373" s="5">
        <v>46199.84862268518</v>
      </c>
      <c r="D373" s="2" t="s">
        <v>520</v>
      </c>
      <c r="E373" s="2" t="s">
        <v>1451</v>
      </c>
      <c r="F373" s="3">
        <v>9.843724854E9</v>
      </c>
      <c r="G373" s="2" t="s">
        <v>49</v>
      </c>
      <c r="H373" s="2" t="s">
        <v>169</v>
      </c>
      <c r="I373" s="2" t="s">
        <v>299</v>
      </c>
      <c r="J373" s="2" t="s">
        <v>46</v>
      </c>
    </row>
    <row r="374">
      <c r="A374" s="3">
        <v>91037.0</v>
      </c>
      <c r="B374" s="2" t="s">
        <v>1452</v>
      </c>
      <c r="C374" s="5">
        <v>46199.85189814815</v>
      </c>
      <c r="D374" s="2" t="s">
        <v>529</v>
      </c>
      <c r="E374" s="2" t="s">
        <v>1453</v>
      </c>
      <c r="F374" s="3">
        <v>9.07104969E9</v>
      </c>
      <c r="G374" s="2" t="s">
        <v>49</v>
      </c>
      <c r="H374" s="2" t="s">
        <v>87</v>
      </c>
      <c r="I374" s="2" t="s">
        <v>1454</v>
      </c>
      <c r="J374" s="6"/>
      <c r="K374" s="6"/>
    </row>
    <row r="375">
      <c r="A375" s="3">
        <v>91038.0</v>
      </c>
      <c r="B375" s="2" t="s">
        <v>870</v>
      </c>
      <c r="C375" s="5">
        <v>46199.92423611111</v>
      </c>
      <c r="D375" s="2" t="s">
        <v>520</v>
      </c>
      <c r="E375" s="2" t="s">
        <v>1455</v>
      </c>
      <c r="F375" s="3">
        <v>9.445715646E9</v>
      </c>
      <c r="G375" s="2" t="s">
        <v>49</v>
      </c>
      <c r="H375" s="2" t="s">
        <v>169</v>
      </c>
      <c r="I375" s="2" t="s">
        <v>299</v>
      </c>
      <c r="J375" s="2" t="s">
        <v>46</v>
      </c>
    </row>
    <row r="376">
      <c r="A376" s="3">
        <v>91039.0</v>
      </c>
      <c r="B376" s="2" t="s">
        <v>1456</v>
      </c>
      <c r="C376" s="5">
        <v>46199.94361111111</v>
      </c>
      <c r="D376" s="2" t="s">
        <v>529</v>
      </c>
      <c r="E376" s="2" t="s">
        <v>1457</v>
      </c>
      <c r="F376" s="3">
        <v>9.01949737E9</v>
      </c>
      <c r="G376" s="2" t="s">
        <v>49</v>
      </c>
      <c r="H376" s="2" t="s">
        <v>87</v>
      </c>
      <c r="I376" s="2" t="s">
        <v>86</v>
      </c>
      <c r="J376" s="2" t="s">
        <v>46</v>
      </c>
    </row>
    <row r="377">
      <c r="A377" s="3">
        <v>91040.0</v>
      </c>
      <c r="B377" s="2" t="s">
        <v>1458</v>
      </c>
      <c r="C377" s="5">
        <v>46200.06626157407</v>
      </c>
      <c r="D377" s="2" t="s">
        <v>520</v>
      </c>
      <c r="E377" s="2" t="s">
        <v>1459</v>
      </c>
      <c r="F377" s="3">
        <v>9.368953839E9</v>
      </c>
      <c r="G377" s="2" t="s">
        <v>49</v>
      </c>
      <c r="H377" s="2" t="s">
        <v>79</v>
      </c>
      <c r="I377" s="2" t="s">
        <v>611</v>
      </c>
      <c r="J377" s="2" t="s">
        <v>46</v>
      </c>
    </row>
    <row r="378">
      <c r="A378" s="3">
        <v>91041.0</v>
      </c>
      <c r="B378" s="2" t="s">
        <v>1460</v>
      </c>
      <c r="C378" s="5">
        <v>46200.41342592592</v>
      </c>
      <c r="D378" s="2" t="s">
        <v>529</v>
      </c>
      <c r="E378" s="2" t="s">
        <v>1461</v>
      </c>
      <c r="F378" s="3">
        <v>9.632115905E9</v>
      </c>
      <c r="G378" s="2" t="s">
        <v>49</v>
      </c>
      <c r="H378" s="2" t="s">
        <v>87</v>
      </c>
      <c r="I378" s="2" t="s">
        <v>1462</v>
      </c>
      <c r="J378" s="2" t="s">
        <v>46</v>
      </c>
    </row>
    <row r="379">
      <c r="A379" s="3">
        <v>91042.0</v>
      </c>
      <c r="B379" s="2" t="s">
        <v>1463</v>
      </c>
      <c r="C379" s="5">
        <v>46200.439780092594</v>
      </c>
      <c r="D379" s="2" t="s">
        <v>529</v>
      </c>
      <c r="E379" s="2" t="s">
        <v>1464</v>
      </c>
      <c r="F379" s="3">
        <v>9.500085036E9</v>
      </c>
      <c r="G379" s="2" t="s">
        <v>49</v>
      </c>
      <c r="H379" s="2" t="s">
        <v>87</v>
      </c>
      <c r="I379" s="2" t="s">
        <v>86</v>
      </c>
      <c r="J379" s="2" t="s">
        <v>46</v>
      </c>
    </row>
    <row r="380">
      <c r="A380" s="3">
        <v>91043.0</v>
      </c>
      <c r="B380" s="2" t="s">
        <v>1465</v>
      </c>
      <c r="C380" s="5">
        <v>46200.45290509259</v>
      </c>
      <c r="D380" s="2" t="s">
        <v>529</v>
      </c>
      <c r="E380" s="2" t="s">
        <v>1466</v>
      </c>
      <c r="F380" s="3">
        <v>7.970378052E9</v>
      </c>
      <c r="G380" s="2" t="s">
        <v>49</v>
      </c>
      <c r="H380" s="2" t="s">
        <v>607</v>
      </c>
      <c r="I380" s="2" t="s">
        <v>1241</v>
      </c>
      <c r="J380" s="2" t="s">
        <v>1242</v>
      </c>
    </row>
    <row r="381">
      <c r="A381" s="3">
        <v>91044.0</v>
      </c>
      <c r="B381" s="2" t="s">
        <v>1467</v>
      </c>
      <c r="C381" s="5">
        <v>46200.46649305556</v>
      </c>
      <c r="D381" s="2" t="s">
        <v>520</v>
      </c>
      <c r="E381" s="2" t="s">
        <v>1468</v>
      </c>
      <c r="F381" s="3">
        <v>9.177613462E9</v>
      </c>
      <c r="G381" s="2" t="s">
        <v>49</v>
      </c>
      <c r="H381" s="2" t="s">
        <v>194</v>
      </c>
      <c r="I381" s="2" t="s">
        <v>193</v>
      </c>
      <c r="J381" s="2" t="s">
        <v>46</v>
      </c>
    </row>
    <row r="382">
      <c r="A382" s="3">
        <v>91045.0</v>
      </c>
      <c r="B382" s="2" t="s">
        <v>1469</v>
      </c>
      <c r="C382" s="5">
        <v>46200.50554398148</v>
      </c>
      <c r="D382" s="2" t="s">
        <v>529</v>
      </c>
      <c r="E382" s="2" t="s">
        <v>1470</v>
      </c>
      <c r="F382" s="3">
        <v>7.019341577E9</v>
      </c>
      <c r="G382" s="2" t="s">
        <v>49</v>
      </c>
      <c r="H382" s="2" t="s">
        <v>87</v>
      </c>
      <c r="I382" s="2" t="s">
        <v>86</v>
      </c>
      <c r="J382" s="2" t="s">
        <v>46</v>
      </c>
    </row>
    <row r="383">
      <c r="A383" s="3">
        <v>91046.0</v>
      </c>
      <c r="B383" s="2" t="s">
        <v>1471</v>
      </c>
      <c r="C383" s="5">
        <v>46200.5174537037</v>
      </c>
      <c r="D383" s="2" t="s">
        <v>520</v>
      </c>
      <c r="E383" s="2" t="s">
        <v>1472</v>
      </c>
      <c r="F383" s="3">
        <v>9.24234181E9</v>
      </c>
      <c r="G383" s="2" t="s">
        <v>49</v>
      </c>
      <c r="H383" s="2" t="s">
        <v>87</v>
      </c>
      <c r="I383" s="2" t="s">
        <v>86</v>
      </c>
      <c r="J383" s="2" t="s">
        <v>46</v>
      </c>
    </row>
    <row r="384">
      <c r="A384" s="3">
        <v>91047.0</v>
      </c>
      <c r="B384" s="2" t="s">
        <v>1473</v>
      </c>
      <c r="C384" s="5">
        <v>46200.53649305556</v>
      </c>
      <c r="D384" s="2" t="s">
        <v>520</v>
      </c>
      <c r="E384" s="2" t="s">
        <v>1474</v>
      </c>
      <c r="F384" s="3">
        <v>9.342550763E9</v>
      </c>
      <c r="G384" s="2" t="s">
        <v>49</v>
      </c>
      <c r="H384" s="2" t="s">
        <v>169</v>
      </c>
      <c r="I384" s="2" t="s">
        <v>639</v>
      </c>
      <c r="J384" s="2" t="s">
        <v>46</v>
      </c>
    </row>
    <row r="385">
      <c r="A385" s="3">
        <v>91048.0</v>
      </c>
      <c r="B385" s="2" t="s">
        <v>1475</v>
      </c>
      <c r="C385" s="5">
        <v>46200.62630787037</v>
      </c>
      <c r="D385" s="2" t="s">
        <v>520</v>
      </c>
      <c r="E385" s="2" t="s">
        <v>1476</v>
      </c>
      <c r="F385" s="3">
        <v>9.515534958E9</v>
      </c>
      <c r="G385" s="2" t="s">
        <v>49</v>
      </c>
      <c r="H385" s="2" t="s">
        <v>287</v>
      </c>
      <c r="I385" s="2" t="s">
        <v>1477</v>
      </c>
      <c r="J385" s="2" t="s">
        <v>46</v>
      </c>
    </row>
    <row r="386">
      <c r="A386" s="3">
        <v>91049.0</v>
      </c>
      <c r="B386" s="2" t="s">
        <v>1478</v>
      </c>
      <c r="C386" s="5">
        <v>46200.66028935185</v>
      </c>
      <c r="D386" s="2" t="s">
        <v>529</v>
      </c>
      <c r="E386" s="2" t="s">
        <v>1479</v>
      </c>
      <c r="F386" s="3">
        <v>6.386895524E9</v>
      </c>
      <c r="G386" s="2" t="s">
        <v>49</v>
      </c>
      <c r="H386" s="2" t="s">
        <v>79</v>
      </c>
      <c r="I386" s="2" t="s">
        <v>583</v>
      </c>
      <c r="J386" s="2" t="s">
        <v>46</v>
      </c>
    </row>
    <row r="387">
      <c r="A387" s="3">
        <v>91050.0</v>
      </c>
      <c r="B387" s="2" t="s">
        <v>1480</v>
      </c>
      <c r="C387" s="5">
        <v>46200.691770833335</v>
      </c>
      <c r="D387" s="2" t="s">
        <v>529</v>
      </c>
      <c r="E387" s="2" t="s">
        <v>1481</v>
      </c>
      <c r="F387" s="3">
        <v>9.136235493E9</v>
      </c>
      <c r="G387" s="2" t="s">
        <v>49</v>
      </c>
      <c r="H387" s="2" t="s">
        <v>48</v>
      </c>
      <c r="I387" s="2" t="s">
        <v>47</v>
      </c>
      <c r="J387" s="2" t="s">
        <v>46</v>
      </c>
    </row>
    <row r="388">
      <c r="A388" s="3">
        <v>91051.0</v>
      </c>
      <c r="B388" s="2" t="s">
        <v>1482</v>
      </c>
      <c r="C388" s="5">
        <v>46200.74768518518</v>
      </c>
      <c r="D388" s="2" t="s">
        <v>529</v>
      </c>
      <c r="E388" s="2" t="s">
        <v>1483</v>
      </c>
      <c r="F388" s="3">
        <v>8.114877279E9</v>
      </c>
      <c r="G388" s="2" t="s">
        <v>49</v>
      </c>
      <c r="H388" s="2" t="s">
        <v>307</v>
      </c>
      <c r="I388" s="2" t="s">
        <v>1484</v>
      </c>
      <c r="J388" s="2" t="s">
        <v>46</v>
      </c>
    </row>
    <row r="389">
      <c r="A389" s="3">
        <v>91052.0</v>
      </c>
      <c r="B389" s="2" t="s">
        <v>1485</v>
      </c>
      <c r="C389" s="5">
        <v>46201.1000462963</v>
      </c>
      <c r="D389" s="2" t="s">
        <v>520</v>
      </c>
      <c r="E389" s="2" t="s">
        <v>1486</v>
      </c>
      <c r="F389" s="3">
        <v>8.088956015E9</v>
      </c>
      <c r="G389" s="2" t="s">
        <v>49</v>
      </c>
      <c r="H389" s="2" t="s">
        <v>87</v>
      </c>
      <c r="I389" s="2" t="s">
        <v>86</v>
      </c>
      <c r="J389" s="2" t="s">
        <v>46</v>
      </c>
    </row>
    <row r="390">
      <c r="A390" s="3">
        <v>91053.0</v>
      </c>
      <c r="B390" s="2" t="s">
        <v>1487</v>
      </c>
      <c r="C390" s="5">
        <v>46201.14167824074</v>
      </c>
      <c r="D390" s="2" t="s">
        <v>529</v>
      </c>
      <c r="E390" s="2" t="s">
        <v>1488</v>
      </c>
      <c r="F390" s="3">
        <v>9.997400778E9</v>
      </c>
      <c r="G390" s="2" t="s">
        <v>49</v>
      </c>
      <c r="H390" s="2" t="s">
        <v>79</v>
      </c>
      <c r="I390" s="2" t="s">
        <v>531</v>
      </c>
      <c r="J390" s="2" t="s">
        <v>704</v>
      </c>
    </row>
    <row r="391">
      <c r="A391" s="3">
        <v>91054.0</v>
      </c>
      <c r="B391" s="2" t="s">
        <v>1489</v>
      </c>
      <c r="C391" s="5">
        <v>46201.2759375</v>
      </c>
      <c r="D391" s="2" t="s">
        <v>520</v>
      </c>
      <c r="E391" s="2" t="s">
        <v>1490</v>
      </c>
      <c r="F391" s="8">
        <v>9.196E11</v>
      </c>
      <c r="G391" s="2" t="s">
        <v>1491</v>
      </c>
      <c r="H391" s="2" t="s">
        <v>1492</v>
      </c>
      <c r="I391" s="2" t="s">
        <v>1493</v>
      </c>
      <c r="J391" s="2" t="s">
        <v>46</v>
      </c>
    </row>
    <row r="392">
      <c r="A392" s="3">
        <v>91055.0</v>
      </c>
      <c r="B392" s="2" t="s">
        <v>1494</v>
      </c>
      <c r="C392" s="5">
        <v>46201.472708333335</v>
      </c>
      <c r="D392" s="2" t="s">
        <v>520</v>
      </c>
      <c r="E392" s="2" t="s">
        <v>1495</v>
      </c>
      <c r="F392" s="3">
        <v>9.704263093E9</v>
      </c>
      <c r="G392" s="2" t="s">
        <v>49</v>
      </c>
      <c r="H392" s="2" t="s">
        <v>194</v>
      </c>
      <c r="I392" s="2" t="s">
        <v>193</v>
      </c>
      <c r="J392" s="2" t="s">
        <v>46</v>
      </c>
    </row>
    <row r="393">
      <c r="A393" s="3">
        <v>91056.0</v>
      </c>
      <c r="B393" s="2" t="s">
        <v>1496</v>
      </c>
      <c r="C393" s="5">
        <v>46201.56701388889</v>
      </c>
      <c r="D393" s="2" t="s">
        <v>520</v>
      </c>
      <c r="E393" s="2" t="s">
        <v>1497</v>
      </c>
      <c r="F393" s="3">
        <v>8.279729592E9</v>
      </c>
      <c r="G393" s="2" t="s">
        <v>49</v>
      </c>
      <c r="H393" s="2" t="s">
        <v>181</v>
      </c>
      <c r="I393" s="2" t="s">
        <v>180</v>
      </c>
      <c r="J393" s="2" t="s">
        <v>46</v>
      </c>
    </row>
    <row r="394">
      <c r="A394" s="3">
        <v>91057.0</v>
      </c>
      <c r="B394" s="2" t="s">
        <v>1498</v>
      </c>
      <c r="C394" s="5">
        <v>46201.591875</v>
      </c>
      <c r="D394" s="2" t="s">
        <v>529</v>
      </c>
      <c r="E394" s="2" t="s">
        <v>1499</v>
      </c>
      <c r="F394" s="3">
        <v>8.89675746E9</v>
      </c>
      <c r="G394" s="2" t="s">
        <v>49</v>
      </c>
      <c r="H394" s="2" t="s">
        <v>79</v>
      </c>
      <c r="I394" s="2" t="s">
        <v>1500</v>
      </c>
      <c r="J394" s="2" t="s">
        <v>46</v>
      </c>
    </row>
    <row r="395">
      <c r="A395" s="3">
        <v>91058.0</v>
      </c>
      <c r="B395" s="2" t="s">
        <v>1501</v>
      </c>
      <c r="C395" s="5">
        <v>46201.619050925925</v>
      </c>
      <c r="D395" s="2" t="s">
        <v>520</v>
      </c>
      <c r="E395" s="2" t="s">
        <v>1502</v>
      </c>
      <c r="F395" s="3">
        <v>8.848650372E9</v>
      </c>
      <c r="G395" s="2" t="s">
        <v>49</v>
      </c>
      <c r="H395" s="2" t="s">
        <v>603</v>
      </c>
      <c r="I395" s="2" t="s">
        <v>1503</v>
      </c>
      <c r="J395" s="2" t="s">
        <v>46</v>
      </c>
    </row>
    <row r="396">
      <c r="A396" s="3">
        <v>91059.0</v>
      </c>
      <c r="B396" s="2" t="s">
        <v>1504</v>
      </c>
      <c r="C396" s="5">
        <v>46201.689039351855</v>
      </c>
      <c r="D396" s="2" t="s">
        <v>529</v>
      </c>
      <c r="E396" s="2" t="s">
        <v>1505</v>
      </c>
      <c r="F396" s="3">
        <v>6.205085848E9</v>
      </c>
      <c r="G396" s="2" t="s">
        <v>49</v>
      </c>
      <c r="H396" s="2" t="s">
        <v>607</v>
      </c>
      <c r="I396" s="2" t="s">
        <v>1506</v>
      </c>
      <c r="J396" s="2" t="s">
        <v>46</v>
      </c>
    </row>
    <row r="397">
      <c r="A397" s="3">
        <v>91060.0</v>
      </c>
      <c r="B397" s="2" t="s">
        <v>1507</v>
      </c>
      <c r="C397" s="5">
        <v>46201.72280092593</v>
      </c>
      <c r="D397" s="2" t="s">
        <v>520</v>
      </c>
      <c r="E397" s="2" t="s">
        <v>1508</v>
      </c>
      <c r="F397" s="3">
        <v>8.767409382E9</v>
      </c>
      <c r="G397" s="2" t="s">
        <v>49</v>
      </c>
      <c r="H397" s="2" t="s">
        <v>48</v>
      </c>
      <c r="I397" s="2" t="s">
        <v>586</v>
      </c>
      <c r="J397" s="6"/>
      <c r="K397" s="6"/>
    </row>
    <row r="398">
      <c r="A398" s="3">
        <v>91061.0</v>
      </c>
      <c r="B398" s="2" t="s">
        <v>1509</v>
      </c>
      <c r="C398" s="5">
        <v>46201.895370370374</v>
      </c>
      <c r="D398" s="2" t="s">
        <v>529</v>
      </c>
      <c r="E398" s="2" t="s">
        <v>1510</v>
      </c>
      <c r="F398" s="3">
        <v>9.005378931E9</v>
      </c>
      <c r="G398" s="2" t="s">
        <v>49</v>
      </c>
      <c r="H398" s="2" t="s">
        <v>79</v>
      </c>
      <c r="I398" s="2" t="s">
        <v>807</v>
      </c>
      <c r="J398" s="2" t="s">
        <v>46</v>
      </c>
    </row>
    <row r="399">
      <c r="A399" s="3">
        <v>91062.0</v>
      </c>
      <c r="B399" s="2" t="s">
        <v>1511</v>
      </c>
      <c r="C399" s="5">
        <v>46201.97534722222</v>
      </c>
      <c r="D399" s="2" t="s">
        <v>529</v>
      </c>
      <c r="E399" s="2" t="s">
        <v>1512</v>
      </c>
      <c r="F399" s="3">
        <v>9.302900354E9</v>
      </c>
      <c r="G399" s="2" t="s">
        <v>49</v>
      </c>
      <c r="H399" s="2" t="s">
        <v>570</v>
      </c>
      <c r="I399" s="2" t="s">
        <v>782</v>
      </c>
      <c r="J399" s="2" t="s">
        <v>46</v>
      </c>
    </row>
    <row r="400">
      <c r="A400" s="3">
        <v>91063.0</v>
      </c>
      <c r="B400" s="2" t="s">
        <v>1513</v>
      </c>
      <c r="C400" s="5">
        <v>46201.9978125</v>
      </c>
      <c r="D400" s="2" t="s">
        <v>529</v>
      </c>
      <c r="E400" s="2" t="s">
        <v>1514</v>
      </c>
      <c r="F400" s="3">
        <v>7.987517018E9</v>
      </c>
      <c r="G400" s="2" t="s">
        <v>49</v>
      </c>
      <c r="H400" s="2" t="s">
        <v>212</v>
      </c>
      <c r="I400" s="2" t="s">
        <v>911</v>
      </c>
      <c r="J400" s="2" t="s">
        <v>46</v>
      </c>
    </row>
    <row r="401">
      <c r="A401" s="3">
        <v>91064.0</v>
      </c>
      <c r="B401" s="2" t="s">
        <v>1515</v>
      </c>
      <c r="C401" s="5">
        <v>46202.13064814815</v>
      </c>
      <c r="D401" s="2" t="s">
        <v>529</v>
      </c>
      <c r="E401" s="2" t="s">
        <v>1516</v>
      </c>
      <c r="F401" s="3">
        <v>9.501950131E9</v>
      </c>
      <c r="G401" s="2" t="s">
        <v>49</v>
      </c>
      <c r="H401" s="2" t="s">
        <v>589</v>
      </c>
      <c r="I401" s="2" t="s">
        <v>684</v>
      </c>
      <c r="J401" s="2" t="s">
        <v>46</v>
      </c>
    </row>
    <row r="402">
      <c r="A402" s="3">
        <v>91065.0</v>
      </c>
      <c r="B402" s="2" t="s">
        <v>1517</v>
      </c>
      <c r="C402" s="5">
        <v>46202.1325</v>
      </c>
      <c r="D402" s="2" t="s">
        <v>529</v>
      </c>
      <c r="E402" s="2" t="s">
        <v>1518</v>
      </c>
      <c r="F402" s="3">
        <v>6.260378374E9</v>
      </c>
      <c r="G402" s="2" t="s">
        <v>49</v>
      </c>
      <c r="H402" s="2" t="s">
        <v>212</v>
      </c>
      <c r="I402" s="2" t="s">
        <v>911</v>
      </c>
      <c r="J402" s="2" t="s">
        <v>46</v>
      </c>
    </row>
    <row r="403">
      <c r="A403" s="3">
        <v>91066.0</v>
      </c>
      <c r="B403" s="2" t="s">
        <v>1519</v>
      </c>
      <c r="C403" s="5">
        <v>46202.382881944446</v>
      </c>
      <c r="D403" s="2" t="s">
        <v>520</v>
      </c>
      <c r="E403" s="2" t="s">
        <v>1520</v>
      </c>
      <c r="F403" s="3">
        <v>9.962166674E9</v>
      </c>
      <c r="G403" s="2" t="s">
        <v>49</v>
      </c>
      <c r="H403" s="2" t="s">
        <v>169</v>
      </c>
      <c r="I403" s="2" t="s">
        <v>299</v>
      </c>
      <c r="J403" s="2" t="s">
        <v>46</v>
      </c>
    </row>
    <row r="404">
      <c r="A404" s="3">
        <v>91067.0</v>
      </c>
      <c r="B404" s="2" t="s">
        <v>1521</v>
      </c>
      <c r="C404" s="5">
        <v>46202.38346064815</v>
      </c>
      <c r="D404" s="2" t="s">
        <v>520</v>
      </c>
      <c r="E404" s="2" t="s">
        <v>1522</v>
      </c>
      <c r="F404" s="3">
        <v>8.810244196E9</v>
      </c>
      <c r="G404" s="2" t="s">
        <v>49</v>
      </c>
      <c r="H404" s="2" t="s">
        <v>570</v>
      </c>
      <c r="I404" s="2" t="s">
        <v>570</v>
      </c>
      <c r="J404" s="2" t="s">
        <v>46</v>
      </c>
    </row>
    <row r="405">
      <c r="A405" s="3">
        <v>91068.0</v>
      </c>
      <c r="B405" s="2" t="s">
        <v>1523</v>
      </c>
      <c r="C405" s="5">
        <v>46202.42921296296</v>
      </c>
      <c r="D405" s="2" t="s">
        <v>520</v>
      </c>
      <c r="E405" s="2" t="s">
        <v>1524</v>
      </c>
      <c r="F405" s="3">
        <v>9.45141528E9</v>
      </c>
      <c r="G405" s="2" t="s">
        <v>49</v>
      </c>
      <c r="H405" s="2" t="s">
        <v>79</v>
      </c>
      <c r="I405" s="2" t="s">
        <v>1525</v>
      </c>
      <c r="J405" s="2" t="s">
        <v>46</v>
      </c>
    </row>
    <row r="406">
      <c r="A406" s="3">
        <v>91069.0</v>
      </c>
      <c r="B406" s="2" t="s">
        <v>1526</v>
      </c>
      <c r="C406" s="5">
        <v>46202.51732638889</v>
      </c>
      <c r="D406" s="2" t="s">
        <v>520</v>
      </c>
      <c r="E406" s="2" t="s">
        <v>1527</v>
      </c>
      <c r="F406" s="3">
        <v>7.506113465E9</v>
      </c>
      <c r="G406" s="2" t="s">
        <v>49</v>
      </c>
      <c r="H406" s="2" t="s">
        <v>48</v>
      </c>
      <c r="I406" s="2" t="s">
        <v>240</v>
      </c>
      <c r="J406" s="2" t="s">
        <v>46</v>
      </c>
    </row>
    <row r="407">
      <c r="A407" s="3">
        <v>91070.0</v>
      </c>
      <c r="B407" s="2" t="s">
        <v>1528</v>
      </c>
      <c r="C407" s="5">
        <v>46202.52731481481</v>
      </c>
      <c r="D407" s="2" t="s">
        <v>520</v>
      </c>
      <c r="E407" s="2" t="s">
        <v>1529</v>
      </c>
      <c r="F407" s="3">
        <v>8.277557822E9</v>
      </c>
      <c r="G407" s="2" t="s">
        <v>49</v>
      </c>
      <c r="H407" s="2" t="s">
        <v>87</v>
      </c>
      <c r="I407" s="2" t="s">
        <v>86</v>
      </c>
      <c r="J407" s="2" t="s">
        <v>46</v>
      </c>
    </row>
    <row r="408">
      <c r="A408" s="3">
        <v>91071.0</v>
      </c>
      <c r="B408" s="2" t="s">
        <v>1530</v>
      </c>
      <c r="C408" s="5">
        <v>46202.557280092595</v>
      </c>
      <c r="D408" s="2" t="s">
        <v>529</v>
      </c>
      <c r="E408" s="2" t="s">
        <v>1531</v>
      </c>
      <c r="F408" s="3">
        <v>7.99985489E9</v>
      </c>
      <c r="G408" s="2" t="s">
        <v>49</v>
      </c>
      <c r="H408" s="2" t="s">
        <v>212</v>
      </c>
      <c r="I408" s="2" t="s">
        <v>789</v>
      </c>
      <c r="J408" s="2" t="s">
        <v>828</v>
      </c>
      <c r="K408" s="6"/>
    </row>
    <row r="409">
      <c r="A409" s="3">
        <v>91072.0</v>
      </c>
      <c r="B409" s="2" t="s">
        <v>1532</v>
      </c>
      <c r="C409" s="5">
        <v>46202.55738425926</v>
      </c>
      <c r="D409" s="2" t="s">
        <v>529</v>
      </c>
      <c r="E409" s="6"/>
      <c r="F409" s="6"/>
      <c r="G409" s="2" t="s">
        <v>49</v>
      </c>
      <c r="H409" s="2" t="s">
        <v>212</v>
      </c>
      <c r="I409" s="2" t="s">
        <v>789</v>
      </c>
      <c r="J409" s="2" t="s">
        <v>46</v>
      </c>
    </row>
    <row r="410">
      <c r="A410" s="3">
        <v>91077.0</v>
      </c>
      <c r="B410" s="2" t="s">
        <v>1532</v>
      </c>
      <c r="C410" s="5">
        <v>46202.57148148148</v>
      </c>
      <c r="D410" s="2" t="s">
        <v>529</v>
      </c>
      <c r="E410" s="2" t="s">
        <v>1533</v>
      </c>
      <c r="F410" s="3">
        <v>8.817122894E9</v>
      </c>
      <c r="G410" s="2" t="s">
        <v>49</v>
      </c>
      <c r="H410" s="2" t="s">
        <v>212</v>
      </c>
      <c r="I410" s="2" t="s">
        <v>789</v>
      </c>
      <c r="J410" s="2" t="s">
        <v>46</v>
      </c>
    </row>
    <row r="411">
      <c r="A411" s="3">
        <v>91078.0</v>
      </c>
      <c r="B411" s="2" t="s">
        <v>1534</v>
      </c>
      <c r="C411" s="5">
        <v>46202.62863425926</v>
      </c>
      <c r="D411" s="2" t="s">
        <v>520</v>
      </c>
      <c r="E411" s="2" t="s">
        <v>1535</v>
      </c>
      <c r="F411" s="3">
        <v>9.148137671E9</v>
      </c>
      <c r="G411" s="2" t="s">
        <v>49</v>
      </c>
      <c r="H411" s="2" t="s">
        <v>87</v>
      </c>
      <c r="I411" s="2" t="s">
        <v>86</v>
      </c>
      <c r="J411" s="2" t="s">
        <v>46</v>
      </c>
    </row>
    <row r="412">
      <c r="A412" s="3">
        <v>91079.0</v>
      </c>
      <c r="B412" s="2" t="s">
        <v>1420</v>
      </c>
      <c r="C412" s="5">
        <v>46202.80918981481</v>
      </c>
      <c r="D412" s="2" t="s">
        <v>520</v>
      </c>
      <c r="E412" s="2" t="s">
        <v>1536</v>
      </c>
      <c r="F412" s="3">
        <v>7.999724966E9</v>
      </c>
      <c r="G412" s="2" t="s">
        <v>49</v>
      </c>
      <c r="H412" s="2" t="s">
        <v>212</v>
      </c>
      <c r="I412" s="2" t="s">
        <v>911</v>
      </c>
      <c r="J412" s="2" t="s">
        <v>46</v>
      </c>
    </row>
    <row r="413">
      <c r="A413" s="3">
        <v>91080.0</v>
      </c>
      <c r="B413" s="2" t="s">
        <v>1537</v>
      </c>
      <c r="C413" s="5">
        <v>46202.87032407407</v>
      </c>
      <c r="D413" s="2" t="s">
        <v>529</v>
      </c>
      <c r="E413" s="2" t="s">
        <v>1538</v>
      </c>
      <c r="F413" s="3">
        <v>7.439449401E9</v>
      </c>
      <c r="G413" s="2" t="s">
        <v>49</v>
      </c>
      <c r="H413" s="2" t="s">
        <v>65</v>
      </c>
      <c r="I413" s="2" t="s">
        <v>103</v>
      </c>
      <c r="J413" s="2" t="s">
        <v>46</v>
      </c>
    </row>
    <row r="414">
      <c r="A414" s="3">
        <v>91081.0</v>
      </c>
      <c r="B414" s="2" t="s">
        <v>1539</v>
      </c>
      <c r="C414" s="5">
        <v>46202.92505787037</v>
      </c>
      <c r="D414" s="2" t="s">
        <v>520</v>
      </c>
      <c r="E414" s="2" t="s">
        <v>1540</v>
      </c>
      <c r="F414" s="3">
        <v>7.986798721E9</v>
      </c>
      <c r="G414" s="2" t="s">
        <v>49</v>
      </c>
      <c r="H414" s="2" t="s">
        <v>181</v>
      </c>
      <c r="I414" s="2" t="s">
        <v>180</v>
      </c>
      <c r="J414" s="2" t="s">
        <v>46</v>
      </c>
    </row>
    <row r="415">
      <c r="A415" s="3">
        <v>91082.0</v>
      </c>
      <c r="B415" s="2" t="s">
        <v>1541</v>
      </c>
      <c r="C415" s="5">
        <v>46202.92890046296</v>
      </c>
      <c r="D415" s="2" t="s">
        <v>520</v>
      </c>
      <c r="E415" s="2" t="s">
        <v>1542</v>
      </c>
      <c r="F415" s="3">
        <v>9.606852126E9</v>
      </c>
      <c r="G415" s="2" t="s">
        <v>49</v>
      </c>
      <c r="H415" s="2" t="s">
        <v>173</v>
      </c>
      <c r="I415" s="2" t="s">
        <v>544</v>
      </c>
      <c r="J415" s="2" t="s">
        <v>46</v>
      </c>
    </row>
    <row r="416">
      <c r="A416" s="3">
        <v>91083.0</v>
      </c>
      <c r="B416" s="2" t="s">
        <v>1543</v>
      </c>
      <c r="C416" s="5">
        <v>46202.990439814814</v>
      </c>
      <c r="D416" s="2" t="s">
        <v>520</v>
      </c>
      <c r="E416" s="2" t="s">
        <v>1544</v>
      </c>
      <c r="F416" s="3">
        <v>6.38832868E9</v>
      </c>
      <c r="G416" s="2" t="s">
        <v>49</v>
      </c>
      <c r="H416" s="2" t="s">
        <v>79</v>
      </c>
      <c r="I416" s="2" t="s">
        <v>807</v>
      </c>
      <c r="J416" s="2" t="s">
        <v>46</v>
      </c>
    </row>
    <row r="417">
      <c r="A417" s="3">
        <v>91084.0</v>
      </c>
      <c r="B417" s="2" t="s">
        <v>1545</v>
      </c>
      <c r="C417" s="5">
        <v>46203.001979166664</v>
      </c>
      <c r="D417" s="2" t="s">
        <v>520</v>
      </c>
      <c r="E417" s="2" t="s">
        <v>1546</v>
      </c>
      <c r="F417" s="3">
        <v>9.326089197E9</v>
      </c>
      <c r="G417" s="2" t="s">
        <v>49</v>
      </c>
      <c r="H417" s="2" t="s">
        <v>48</v>
      </c>
      <c r="I417" s="2" t="s">
        <v>1547</v>
      </c>
      <c r="J417" s="2" t="s">
        <v>46</v>
      </c>
    </row>
    <row r="418">
      <c r="A418" s="3">
        <v>91085.0</v>
      </c>
      <c r="B418" s="2" t="s">
        <v>1548</v>
      </c>
      <c r="C418" s="5">
        <v>46203.42151620371</v>
      </c>
      <c r="D418" s="2" t="s">
        <v>529</v>
      </c>
      <c r="E418" s="2" t="s">
        <v>1549</v>
      </c>
      <c r="F418" s="3">
        <v>9.793049485E9</v>
      </c>
      <c r="G418" s="2" t="s">
        <v>49</v>
      </c>
      <c r="H418" s="2" t="s">
        <v>79</v>
      </c>
      <c r="I418" s="2" t="s">
        <v>807</v>
      </c>
      <c r="J418" s="2" t="s">
        <v>46</v>
      </c>
    </row>
  </sheetData>
  <mergeCells count="410">
    <mergeCell ref="J385:K385"/>
    <mergeCell ref="J386:K386"/>
    <mergeCell ref="J387:K387"/>
    <mergeCell ref="J388:K388"/>
    <mergeCell ref="J389:K389"/>
    <mergeCell ref="J390:K390"/>
    <mergeCell ref="J391:K391"/>
    <mergeCell ref="J392:K392"/>
    <mergeCell ref="J393:K393"/>
    <mergeCell ref="J394:K394"/>
    <mergeCell ref="J395:K395"/>
    <mergeCell ref="J396:K396"/>
    <mergeCell ref="J398:K398"/>
    <mergeCell ref="J399:K399"/>
    <mergeCell ref="J400:K400"/>
    <mergeCell ref="J401:K401"/>
    <mergeCell ref="J402:K402"/>
    <mergeCell ref="J403:K403"/>
    <mergeCell ref="J404:K404"/>
    <mergeCell ref="J405:K405"/>
    <mergeCell ref="J406:K406"/>
    <mergeCell ref="J415:K415"/>
    <mergeCell ref="J416:K416"/>
    <mergeCell ref="J417:K417"/>
    <mergeCell ref="J418:K418"/>
    <mergeCell ref="J407:K407"/>
    <mergeCell ref="J409:K409"/>
    <mergeCell ref="J410:K410"/>
    <mergeCell ref="J411:K411"/>
    <mergeCell ref="J412:K412"/>
    <mergeCell ref="J413:K413"/>
    <mergeCell ref="J414:K414"/>
    <mergeCell ref="J338:K338"/>
    <mergeCell ref="J339:K339"/>
    <mergeCell ref="J340:K340"/>
    <mergeCell ref="J341:K341"/>
    <mergeCell ref="J342:K342"/>
    <mergeCell ref="J343:K343"/>
    <mergeCell ref="J344:K344"/>
    <mergeCell ref="J345:K345"/>
    <mergeCell ref="J346:K346"/>
    <mergeCell ref="J347:K347"/>
    <mergeCell ref="J348:K348"/>
    <mergeCell ref="J349:K349"/>
    <mergeCell ref="J350:K350"/>
    <mergeCell ref="J351:K351"/>
    <mergeCell ref="J352:K352"/>
    <mergeCell ref="J353:K353"/>
    <mergeCell ref="J354:K354"/>
    <mergeCell ref="J356:K356"/>
    <mergeCell ref="J357:K357"/>
    <mergeCell ref="J358:K358"/>
    <mergeCell ref="J359:K359"/>
    <mergeCell ref="J367:K367"/>
    <mergeCell ref="J368:K368"/>
    <mergeCell ref="C369:D369"/>
    <mergeCell ref="J369:K369"/>
    <mergeCell ref="J360:K360"/>
    <mergeCell ref="J361:K361"/>
    <mergeCell ref="J362:K362"/>
    <mergeCell ref="J363:K363"/>
    <mergeCell ref="J364:K364"/>
    <mergeCell ref="J365:K365"/>
    <mergeCell ref="J366:K366"/>
    <mergeCell ref="J370:K370"/>
    <mergeCell ref="J371:K371"/>
    <mergeCell ref="J372:K372"/>
    <mergeCell ref="J373:K373"/>
    <mergeCell ref="J375:K375"/>
    <mergeCell ref="J376:K376"/>
    <mergeCell ref="J377:K377"/>
    <mergeCell ref="J378:K378"/>
    <mergeCell ref="J379:K379"/>
    <mergeCell ref="J380:K380"/>
    <mergeCell ref="J381:K381"/>
    <mergeCell ref="J382:K382"/>
    <mergeCell ref="J383:K383"/>
    <mergeCell ref="J384:K384"/>
    <mergeCell ref="J2:K2"/>
    <mergeCell ref="J3:K3"/>
    <mergeCell ref="J4:K4"/>
    <mergeCell ref="J5:K5"/>
    <mergeCell ref="J6:K6"/>
    <mergeCell ref="J7:K7"/>
    <mergeCell ref="J9:K9"/>
    <mergeCell ref="J10:K10"/>
    <mergeCell ref="J11:K11"/>
    <mergeCell ref="J12:K12"/>
    <mergeCell ref="J13:K13"/>
    <mergeCell ref="J14:K14"/>
    <mergeCell ref="J15:K15"/>
    <mergeCell ref="J16:K16"/>
    <mergeCell ref="J17:K17"/>
    <mergeCell ref="J18:K18"/>
    <mergeCell ref="J19:K19"/>
    <mergeCell ref="J20:K20"/>
    <mergeCell ref="J21:K21"/>
    <mergeCell ref="J22:K22"/>
    <mergeCell ref="J23:K23"/>
    <mergeCell ref="J24:K24"/>
    <mergeCell ref="J25:K25"/>
    <mergeCell ref="J26:K26"/>
    <mergeCell ref="J28:K28"/>
    <mergeCell ref="J29:K29"/>
    <mergeCell ref="J30:K30"/>
    <mergeCell ref="J31:K31"/>
    <mergeCell ref="J32:K32"/>
    <mergeCell ref="J33:K33"/>
    <mergeCell ref="J34:K34"/>
    <mergeCell ref="J35:K35"/>
    <mergeCell ref="J37:K37"/>
    <mergeCell ref="J38:K38"/>
    <mergeCell ref="J39:K39"/>
    <mergeCell ref="J40:K40"/>
    <mergeCell ref="J41:K41"/>
    <mergeCell ref="J42:K42"/>
    <mergeCell ref="J43:K43"/>
    <mergeCell ref="J44:K44"/>
    <mergeCell ref="J45:K45"/>
    <mergeCell ref="J46:K46"/>
    <mergeCell ref="J47:K47"/>
    <mergeCell ref="J48:K48"/>
    <mergeCell ref="J49:K49"/>
    <mergeCell ref="J50:K50"/>
    <mergeCell ref="J51:K51"/>
    <mergeCell ref="J52:K52"/>
    <mergeCell ref="J53:K53"/>
    <mergeCell ref="J54:K54"/>
    <mergeCell ref="J55:K55"/>
    <mergeCell ref="J56:K56"/>
    <mergeCell ref="J57:K57"/>
    <mergeCell ref="J58:K58"/>
    <mergeCell ref="J59:K59"/>
    <mergeCell ref="J60:K60"/>
    <mergeCell ref="J61:K61"/>
    <mergeCell ref="J62:K62"/>
    <mergeCell ref="J63:K63"/>
    <mergeCell ref="J64:K64"/>
    <mergeCell ref="J65:K65"/>
    <mergeCell ref="J66:K66"/>
    <mergeCell ref="J67:K67"/>
    <mergeCell ref="J68:K68"/>
    <mergeCell ref="J69:K69"/>
    <mergeCell ref="J70:K70"/>
    <mergeCell ref="J71:K71"/>
    <mergeCell ref="J72:K72"/>
    <mergeCell ref="J73:K73"/>
    <mergeCell ref="J74:K74"/>
    <mergeCell ref="J75:K75"/>
    <mergeCell ref="J76:K76"/>
    <mergeCell ref="J77:K77"/>
    <mergeCell ref="J78:K78"/>
    <mergeCell ref="J79:K79"/>
    <mergeCell ref="J80:K80"/>
    <mergeCell ref="J81:K81"/>
    <mergeCell ref="J82:K82"/>
    <mergeCell ref="J83:K83"/>
    <mergeCell ref="J84:K84"/>
    <mergeCell ref="J85:K85"/>
    <mergeCell ref="J86:K86"/>
    <mergeCell ref="J87:K87"/>
    <mergeCell ref="J88:K88"/>
    <mergeCell ref="J89:K89"/>
    <mergeCell ref="J90:K90"/>
    <mergeCell ref="J91:K91"/>
    <mergeCell ref="J93:K93"/>
    <mergeCell ref="J94:K94"/>
    <mergeCell ref="J95:K95"/>
    <mergeCell ref="J96:K96"/>
    <mergeCell ref="J97:K97"/>
    <mergeCell ref="J98:K98"/>
    <mergeCell ref="J99:K99"/>
    <mergeCell ref="J100:K100"/>
    <mergeCell ref="J101:K101"/>
    <mergeCell ref="J102:K102"/>
    <mergeCell ref="J103:K103"/>
    <mergeCell ref="J104:K104"/>
    <mergeCell ref="J105:K105"/>
    <mergeCell ref="J107:K107"/>
    <mergeCell ref="J108:K108"/>
    <mergeCell ref="J109:K109"/>
    <mergeCell ref="J110:K110"/>
    <mergeCell ref="J111:K111"/>
    <mergeCell ref="J112:K112"/>
    <mergeCell ref="J113:K113"/>
    <mergeCell ref="J114:K114"/>
    <mergeCell ref="J116:K116"/>
    <mergeCell ref="J117:K117"/>
    <mergeCell ref="J118:K118"/>
    <mergeCell ref="J119:K119"/>
    <mergeCell ref="J120:K120"/>
    <mergeCell ref="J121:K121"/>
    <mergeCell ref="J122:K122"/>
    <mergeCell ref="J123:K123"/>
    <mergeCell ref="J124:K124"/>
    <mergeCell ref="J125:K125"/>
    <mergeCell ref="J126:K126"/>
    <mergeCell ref="J127:K127"/>
    <mergeCell ref="J128:K128"/>
    <mergeCell ref="J129:K129"/>
    <mergeCell ref="J130:K130"/>
    <mergeCell ref="J131:K131"/>
    <mergeCell ref="J132:K132"/>
    <mergeCell ref="J133:K133"/>
    <mergeCell ref="J134:K134"/>
    <mergeCell ref="J135:K135"/>
    <mergeCell ref="J136:K136"/>
    <mergeCell ref="J137:K137"/>
    <mergeCell ref="J138:K138"/>
    <mergeCell ref="J139:K139"/>
    <mergeCell ref="J140:K140"/>
    <mergeCell ref="J141:K141"/>
    <mergeCell ref="J142:K142"/>
    <mergeCell ref="J143:K143"/>
    <mergeCell ref="J144:K144"/>
    <mergeCell ref="C145:D145"/>
    <mergeCell ref="J145:K145"/>
    <mergeCell ref="J146:K146"/>
    <mergeCell ref="J147:K147"/>
    <mergeCell ref="J148:K148"/>
    <mergeCell ref="J149:K149"/>
    <mergeCell ref="J151:K151"/>
    <mergeCell ref="J152:K152"/>
    <mergeCell ref="J153:K153"/>
    <mergeCell ref="J154:K154"/>
    <mergeCell ref="J155:K155"/>
    <mergeCell ref="J156:K156"/>
    <mergeCell ref="J157:K157"/>
    <mergeCell ref="J158:K158"/>
    <mergeCell ref="J159:K159"/>
    <mergeCell ref="J160:K160"/>
    <mergeCell ref="J161:K161"/>
    <mergeCell ref="J162:K162"/>
    <mergeCell ref="J163:K163"/>
    <mergeCell ref="J164:K164"/>
    <mergeCell ref="J165:K165"/>
    <mergeCell ref="J166:K166"/>
    <mergeCell ref="J167:K167"/>
    <mergeCell ref="J168:K168"/>
    <mergeCell ref="J174:K174"/>
    <mergeCell ref="J175:K175"/>
    <mergeCell ref="C177:D177"/>
    <mergeCell ref="J177:K177"/>
    <mergeCell ref="C178:D178"/>
    <mergeCell ref="J178:K178"/>
    <mergeCell ref="C179:D179"/>
    <mergeCell ref="J179:K179"/>
    <mergeCell ref="J169:K169"/>
    <mergeCell ref="J170:K170"/>
    <mergeCell ref="J171:K171"/>
    <mergeCell ref="C172:D172"/>
    <mergeCell ref="J172:K172"/>
    <mergeCell ref="C174:D174"/>
    <mergeCell ref="C176:D176"/>
    <mergeCell ref="J173:K173"/>
    <mergeCell ref="J176:K176"/>
    <mergeCell ref="J180:K180"/>
    <mergeCell ref="J181:K181"/>
    <mergeCell ref="J182:K182"/>
    <mergeCell ref="J183:K183"/>
    <mergeCell ref="J184:K184"/>
    <mergeCell ref="J200:K200"/>
    <mergeCell ref="J201:K201"/>
    <mergeCell ref="J185:K185"/>
    <mergeCell ref="J186:K186"/>
    <mergeCell ref="J187:K187"/>
    <mergeCell ref="J188:K188"/>
    <mergeCell ref="J189:K189"/>
    <mergeCell ref="J190:K190"/>
    <mergeCell ref="J191:K191"/>
    <mergeCell ref="J192:K192"/>
    <mergeCell ref="J193:K193"/>
    <mergeCell ref="J194:K194"/>
    <mergeCell ref="J195:K195"/>
    <mergeCell ref="J196:K196"/>
    <mergeCell ref="J197:K197"/>
    <mergeCell ref="J198:K198"/>
    <mergeCell ref="J202:K202"/>
    <mergeCell ref="J203:K203"/>
    <mergeCell ref="J204:K204"/>
    <mergeCell ref="J205:K205"/>
    <mergeCell ref="J206:K206"/>
    <mergeCell ref="J207:K207"/>
    <mergeCell ref="J208:K208"/>
    <mergeCell ref="J209:K209"/>
    <mergeCell ref="J210:K210"/>
    <mergeCell ref="J211:K211"/>
    <mergeCell ref="J212:K212"/>
    <mergeCell ref="J213:K213"/>
    <mergeCell ref="J214:K214"/>
    <mergeCell ref="J215:K215"/>
    <mergeCell ref="J216:K216"/>
    <mergeCell ref="J217:K217"/>
    <mergeCell ref="J218:K218"/>
    <mergeCell ref="J220:K220"/>
    <mergeCell ref="J221:K221"/>
    <mergeCell ref="J222:K222"/>
    <mergeCell ref="J223:K223"/>
    <mergeCell ref="J224:K224"/>
    <mergeCell ref="J225:K225"/>
    <mergeCell ref="J226:K226"/>
    <mergeCell ref="J227:K227"/>
    <mergeCell ref="J228:K228"/>
    <mergeCell ref="J229:K229"/>
    <mergeCell ref="J231:K231"/>
    <mergeCell ref="J232:K232"/>
    <mergeCell ref="J233:K233"/>
    <mergeCell ref="J234:K234"/>
    <mergeCell ref="J235:K235"/>
    <mergeCell ref="J236:K236"/>
    <mergeCell ref="J237:K237"/>
    <mergeCell ref="J238:K238"/>
    <mergeCell ref="J239:K239"/>
    <mergeCell ref="J240:K240"/>
    <mergeCell ref="J241:K241"/>
    <mergeCell ref="J242:K242"/>
    <mergeCell ref="J243:K243"/>
    <mergeCell ref="J244:K244"/>
    <mergeCell ref="J245:K245"/>
    <mergeCell ref="J246:K246"/>
    <mergeCell ref="J247:K247"/>
    <mergeCell ref="J248:K248"/>
    <mergeCell ref="J249:K249"/>
    <mergeCell ref="J250:K250"/>
    <mergeCell ref="J251:K251"/>
    <mergeCell ref="J252:K252"/>
    <mergeCell ref="J253:K253"/>
    <mergeCell ref="J254:K254"/>
    <mergeCell ref="J255:K255"/>
    <mergeCell ref="J256:K256"/>
    <mergeCell ref="J257:K257"/>
    <mergeCell ref="J258:K258"/>
    <mergeCell ref="J259:K259"/>
    <mergeCell ref="J260:K260"/>
    <mergeCell ref="J261:K261"/>
    <mergeCell ref="J263:K263"/>
    <mergeCell ref="E264:F264"/>
    <mergeCell ref="J264:K264"/>
    <mergeCell ref="J265:K265"/>
    <mergeCell ref="J266:K266"/>
    <mergeCell ref="J267:K267"/>
    <mergeCell ref="J268:K268"/>
    <mergeCell ref="J269:K269"/>
    <mergeCell ref="J270:K270"/>
    <mergeCell ref="J271:K271"/>
    <mergeCell ref="J272:K272"/>
    <mergeCell ref="J273:K273"/>
    <mergeCell ref="J274:K274"/>
    <mergeCell ref="J275:K275"/>
    <mergeCell ref="J276:K276"/>
    <mergeCell ref="J277:K277"/>
    <mergeCell ref="J278:K278"/>
    <mergeCell ref="J279:K279"/>
    <mergeCell ref="J280:K280"/>
    <mergeCell ref="J281:K281"/>
    <mergeCell ref="J282:K282"/>
    <mergeCell ref="J283:K283"/>
    <mergeCell ref="J284:K284"/>
    <mergeCell ref="J285:K285"/>
    <mergeCell ref="J286:K286"/>
    <mergeCell ref="J287:K287"/>
    <mergeCell ref="J288:K288"/>
    <mergeCell ref="J289:K289"/>
    <mergeCell ref="J290:K290"/>
    <mergeCell ref="J291:K291"/>
    <mergeCell ref="J292:K292"/>
    <mergeCell ref="J293:K293"/>
    <mergeCell ref="J294:K294"/>
    <mergeCell ref="J295:K295"/>
    <mergeCell ref="J296:K296"/>
    <mergeCell ref="J297:K297"/>
    <mergeCell ref="J298:K298"/>
    <mergeCell ref="J299:K299"/>
    <mergeCell ref="J300:K300"/>
    <mergeCell ref="J301:K301"/>
    <mergeCell ref="J302:K302"/>
    <mergeCell ref="J303:K303"/>
    <mergeCell ref="J304:K304"/>
    <mergeCell ref="J305:K305"/>
    <mergeCell ref="J306:K306"/>
    <mergeCell ref="J307:K307"/>
    <mergeCell ref="J308:K308"/>
    <mergeCell ref="J309:K309"/>
    <mergeCell ref="J310:K310"/>
    <mergeCell ref="J311:K311"/>
    <mergeCell ref="J312:K312"/>
    <mergeCell ref="J313:K313"/>
    <mergeCell ref="J314:K314"/>
    <mergeCell ref="J315:K315"/>
    <mergeCell ref="J316:K316"/>
    <mergeCell ref="J317:K317"/>
    <mergeCell ref="J318:K318"/>
    <mergeCell ref="J319:K319"/>
    <mergeCell ref="J320:K320"/>
    <mergeCell ref="J321:K321"/>
    <mergeCell ref="J322:K322"/>
    <mergeCell ref="J323:K323"/>
    <mergeCell ref="J324:K324"/>
    <mergeCell ref="J325:K325"/>
    <mergeCell ref="J327:K327"/>
    <mergeCell ref="J328:K328"/>
    <mergeCell ref="J329:K329"/>
    <mergeCell ref="J330:K330"/>
    <mergeCell ref="J331:K331"/>
    <mergeCell ref="J332:K332"/>
    <mergeCell ref="J333:K333"/>
    <mergeCell ref="J334:K334"/>
    <mergeCell ref="J335:K335"/>
    <mergeCell ref="J336:K336"/>
    <mergeCell ref="J337:K337"/>
  </mergeCells>
  <drawing r:id="rId1"/>
</worksheet>
</file>